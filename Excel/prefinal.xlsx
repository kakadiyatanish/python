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AI&amp;ML\excel\"/>
    </mc:Choice>
  </mc:AlternateContent>
  <xr:revisionPtr revIDLastSave="0" documentId="13_ncr:1_{1EE3FE0C-CDEB-422A-86E2-83E9FFDFA149}" xr6:coauthVersionLast="47" xr6:coauthVersionMax="47" xr10:uidLastSave="{00000000-0000-0000-0000-000000000000}"/>
  <bookViews>
    <workbookView xWindow="-108" yWindow="-108" windowWidth="23256" windowHeight="12456" firstSheet="1" activeTab="1" xr2:uid="{00000000-000D-0000-FFFF-FFFF00000000}"/>
  </bookViews>
  <sheets>
    <sheet name="Project Instructions" sheetId="1" r:id="rId1"/>
    <sheet name="dashboard" sheetId="11" r:id="rId2"/>
    <sheet name="Final Project Dataset" sheetId="2" r:id="rId3"/>
    <sheet name="customer " sheetId="8" r:id="rId4"/>
    <sheet name="month sales" sheetId="4" r:id="rId5"/>
    <sheet name="product sales" sheetId="7" r:id="rId6"/>
    <sheet name="product and quantity" sheetId="12" r:id="rId7"/>
    <sheet name="top 10" sheetId="13" r:id="rId8"/>
  </sheets>
  <definedNames>
    <definedName name="_xlcn.WorksheetConnection_finalexam.xlsxTable11" hidden="1">Table1[]</definedName>
    <definedName name="Slicer_Customer_Name">#N/A</definedName>
    <definedName name="Slicer_Payment_Method">#N/A</definedName>
    <definedName name="Slicer_Region">#N/A</definedName>
    <definedName name="tanish">Table1[#All]</definedName>
  </definedNames>
  <calcPr calcId="191029"/>
  <pivotCaches>
    <pivotCache cacheId="116" r:id="rId9"/>
    <pivotCache cacheId="119" r:id="rId10"/>
    <pivotCache cacheId="122" r:id="rId11"/>
    <pivotCache cacheId="125" r:id="rId12"/>
    <pivotCache cacheId="128"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nish" name="tanish" connection="WorksheetConnection_final exam.xlsx!tanish"/>
          <x15:modelTable id="Table1" name="Table1" connection="WorksheetConnection_final exam.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P2" i="2"/>
  <c r="O2" i="2"/>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53335C-48A9-4394-9296-92379694EB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9C119C-D615-4EDB-8207-820DE2097A59}" name="WorksheetConnection_final exam.xlsx!Table1" type="102" refreshedVersion="8" minRefreshableVersion="5">
    <extLst>
      <ext xmlns:x15="http://schemas.microsoft.com/office/spreadsheetml/2010/11/main" uri="{DE250136-89BD-433C-8126-D09CA5730AF9}">
        <x15:connection id="Table1">
          <x15:rangePr sourceName="_xlcn.WorksheetConnection_finalexam.xlsxTable11"/>
        </x15:connection>
      </ext>
    </extLst>
  </connection>
  <connection id="3" xr16:uid="{614F47BE-DB7D-47E1-9FFB-3D3E1A243819}" name="WorksheetConnection_final exam.xlsx!tanish" type="102" refreshedVersion="8" minRefreshableVersion="5">
    <extLst>
      <ext xmlns:x15="http://schemas.microsoft.com/office/spreadsheetml/2010/11/main" uri="{DE250136-89BD-433C-8126-D09CA5730AF9}">
        <x15:connection id="tanish" autoDelete="1">
          <x15:rangePr sourceName="tanish"/>
        </x15:connection>
      </ext>
    </extLst>
  </connection>
</connections>
</file>

<file path=xl/sharedStrings.xml><?xml version="1.0" encoding="utf-8"?>
<sst xmlns="http://schemas.openxmlformats.org/spreadsheetml/2006/main" count="2122" uniqueCount="174">
  <si>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</si>
  <si>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</si>
  <si>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Date</t>
  </si>
  <si>
    <t>Customer_ID</t>
  </si>
  <si>
    <t>Customer_Name</t>
  </si>
  <si>
    <t>Product_ID</t>
  </si>
  <si>
    <t>Product_Name</t>
  </si>
  <si>
    <t>Category</t>
  </si>
  <si>
    <t>Quantity</t>
  </si>
  <si>
    <t>Unit_Price</t>
  </si>
  <si>
    <t>Payment_Method</t>
  </si>
  <si>
    <t>Region</t>
  </si>
  <si>
    <t>Customer_Segment</t>
  </si>
  <si>
    <t>Customer_Since</t>
  </si>
  <si>
    <t>Total_Amount</t>
  </si>
  <si>
    <t>CUST023</t>
  </si>
  <si>
    <t>Paul Baker</t>
  </si>
  <si>
    <t>P009</t>
  </si>
  <si>
    <t>Monitor</t>
  </si>
  <si>
    <t>Electronics</t>
  </si>
  <si>
    <t>Cash</t>
  </si>
  <si>
    <t>Central</t>
  </si>
  <si>
    <t>Basic</t>
  </si>
  <si>
    <t>CUST013</t>
  </si>
  <si>
    <t>Joseph Jackson</t>
  </si>
  <si>
    <t>Credit Card</t>
  </si>
  <si>
    <t>Premium</t>
  </si>
  <si>
    <t>CUST021</t>
  </si>
  <si>
    <t>Kevin Scott</t>
  </si>
  <si>
    <t>P005</t>
  </si>
  <si>
    <t>Blender</t>
  </si>
  <si>
    <t>Appliances</t>
  </si>
  <si>
    <t>PayPal</t>
  </si>
  <si>
    <t>South</t>
  </si>
  <si>
    <t>Standard</t>
  </si>
  <si>
    <t>CUST046</t>
  </si>
  <si>
    <t>Kathleen Bennett</t>
  </si>
  <si>
    <t>North</t>
  </si>
  <si>
    <t>CUST003</t>
  </si>
  <si>
    <t>Michael Brown</t>
  </si>
  <si>
    <t>P008</t>
  </si>
  <si>
    <t>Bookshelf</t>
  </si>
  <si>
    <t>Furniture</t>
  </si>
  <si>
    <t>CUST024</t>
  </si>
  <si>
    <t>Dorothy Nelson</t>
  </si>
  <si>
    <t>West</t>
  </si>
  <si>
    <t>P003</t>
  </si>
  <si>
    <t>Headphones</t>
  </si>
  <si>
    <t>CUST017</t>
  </si>
  <si>
    <t>Charles Allen</t>
  </si>
  <si>
    <t>Debit Card</t>
  </si>
  <si>
    <t>CUST009</t>
  </si>
  <si>
    <t>Robert Thomas</t>
  </si>
  <si>
    <t>P001</t>
  </si>
  <si>
    <t>Laptop</t>
  </si>
  <si>
    <t>East</t>
  </si>
  <si>
    <t>CUST026</t>
  </si>
  <si>
    <t>Karen Hill</t>
  </si>
  <si>
    <t>CUST022</t>
  </si>
  <si>
    <t>Susan Green</t>
  </si>
  <si>
    <t>CUST041</t>
  </si>
  <si>
    <t>Peter Richardson</t>
  </si>
  <si>
    <t>CUST043</t>
  </si>
  <si>
    <t>Dennis Gray</t>
  </si>
  <si>
    <t>CUST038</t>
  </si>
  <si>
    <t>Michelle Rogers</t>
  </si>
  <si>
    <t>P002</t>
  </si>
  <si>
    <t>Smartphone</t>
  </si>
  <si>
    <t>CUST027</t>
  </si>
  <si>
    <t>George Adams</t>
  </si>
  <si>
    <t>CUST025</t>
  </si>
  <si>
    <t>Mark Carter</t>
  </si>
  <si>
    <t>CUST010</t>
  </si>
  <si>
    <t>Maria Garcia</t>
  </si>
  <si>
    <t>CUST048</t>
  </si>
  <si>
    <t>Virginia Sanders</t>
  </si>
  <si>
    <t>CUST018</t>
  </si>
  <si>
    <t>Barbara Young</t>
  </si>
  <si>
    <t>CUST012</t>
  </si>
  <si>
    <t>Patricia Moore</t>
  </si>
  <si>
    <t>CUST044</t>
  </si>
  <si>
    <t>Cynthia Price</t>
  </si>
  <si>
    <t>P007</t>
  </si>
  <si>
    <t>Desk</t>
  </si>
  <si>
    <t>CUST036</t>
  </si>
  <si>
    <t>Nancy Collins</t>
  </si>
  <si>
    <t>CUST014</t>
  </si>
  <si>
    <t>Linda Martin</t>
  </si>
  <si>
    <t>P004</t>
  </si>
  <si>
    <t>Coffee Maker</t>
  </si>
  <si>
    <t>P010</t>
  </si>
  <si>
    <t>Keyboard</t>
  </si>
  <si>
    <t>CUST030</t>
  </si>
  <si>
    <t>Helen Roberts</t>
  </si>
  <si>
    <t>CUST029</t>
  </si>
  <si>
    <t>Edward Mitchell</t>
  </si>
  <si>
    <t>P006</t>
  </si>
  <si>
    <t>Office Chair</t>
  </si>
  <si>
    <t>CUST006</t>
  </si>
  <si>
    <t>Lisa Anderson</t>
  </si>
  <si>
    <t>CUST002</t>
  </si>
  <si>
    <t>Emma Wilson</t>
  </si>
  <si>
    <t>CUST031</t>
  </si>
  <si>
    <t>Steven Turner</t>
  </si>
  <si>
    <t>CUST008</t>
  </si>
  <si>
    <t>Jennifer Taylor</t>
  </si>
  <si>
    <t>CUST035</t>
  </si>
  <si>
    <t>Harry Morgan</t>
  </si>
  <si>
    <t>CUST019</t>
  </si>
  <si>
    <t>Daniel King</t>
  </si>
  <si>
    <t>CUST040</t>
  </si>
  <si>
    <t>Sharon Butler</t>
  </si>
  <si>
    <t>CUST004</t>
  </si>
  <si>
    <t>Sarah Davis</t>
  </si>
  <si>
    <t>CUST028</t>
  </si>
  <si>
    <t>Betty Campbell</t>
  </si>
  <si>
    <t>CUST050</t>
  </si>
  <si>
    <t>Julie Foster</t>
  </si>
  <si>
    <t>CUST049</t>
  </si>
  <si>
    <t>Raymond Ross</t>
  </si>
  <si>
    <t>CUST007</t>
  </si>
  <si>
    <t>David Martinez</t>
  </si>
  <si>
    <t>CUST020</t>
  </si>
  <si>
    <t>Margaret Wright</t>
  </si>
  <si>
    <t>CUST033</t>
  </si>
  <si>
    <t>Frank Torres</t>
  </si>
  <si>
    <t>CUST047</t>
  </si>
  <si>
    <t>Gerald Murphy</t>
  </si>
  <si>
    <t>CUST016</t>
  </si>
  <si>
    <t>Elizabeth Hall</t>
  </si>
  <si>
    <t>CUST039</t>
  </si>
  <si>
    <t>Lawrence Reed</t>
  </si>
  <si>
    <t>CUST034</t>
  </si>
  <si>
    <t>Carol Evans</t>
  </si>
  <si>
    <t>CUST032</t>
  </si>
  <si>
    <t>Sandra Phillips</t>
  </si>
  <si>
    <t>CUST042</t>
  </si>
  <si>
    <t>Ruth Brooks</t>
  </si>
  <si>
    <t>CUST011</t>
  </si>
  <si>
    <t>William White</t>
  </si>
  <si>
    <t>CUST015</t>
  </si>
  <si>
    <t>Richard Lee</t>
  </si>
  <si>
    <t>CUST045</t>
  </si>
  <si>
    <t>Douglas Watson</t>
  </si>
  <si>
    <t>CUST005</t>
  </si>
  <si>
    <t>James Johnson</t>
  </si>
  <si>
    <t>CUST037</t>
  </si>
  <si>
    <t>Arthur Edwards</t>
  </si>
  <si>
    <t>CUST001</t>
  </si>
  <si>
    <t>John Smith</t>
  </si>
  <si>
    <t>Year</t>
  </si>
  <si>
    <t>Month</t>
  </si>
  <si>
    <t>Year - Month</t>
  </si>
  <si>
    <t>Row Labels</t>
  </si>
  <si>
    <t>Grand Total</t>
  </si>
  <si>
    <t>2024-04</t>
  </si>
  <si>
    <t>2024-05</t>
  </si>
  <si>
    <t>2024-06</t>
  </si>
  <si>
    <t>2024-07</t>
  </si>
  <si>
    <t>2024-08</t>
  </si>
  <si>
    <t>2024-09</t>
  </si>
  <si>
    <t>2024-10</t>
  </si>
  <si>
    <t>2024-11</t>
  </si>
  <si>
    <t>2024-12</t>
  </si>
  <si>
    <t>2025-01</t>
  </si>
  <si>
    <t>2025-02</t>
  </si>
  <si>
    <t>2025-03</t>
  </si>
  <si>
    <t>2025-04</t>
  </si>
  <si>
    <t>Sum of Total_Amount</t>
  </si>
  <si>
    <t>product_name</t>
  </si>
  <si>
    <t>Count of Customer_Name</t>
  </si>
  <si>
    <t>Sum of Quantity</t>
  </si>
  <si>
    <t>customer_name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</si>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</sst>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sz val="11"/>
      <color theme="1"/>
      <name val="Calibri"/>
      <family val="2"/>
    </font>
    <font>
      <sz val="26"/>
      <color theme="5" tint="-0.249977111117893"/>
      <name val="Calibri"/>
      <family val="2"/>
      <scheme val="minor"/>
    </font>
  </fonts>
  <fills count="6">
    <fill>
      <patternFill patternType="none"/>
    </fill>
    <fill>
      <patternFill patternType="gray125"/>
    </fill>
    <fill>
      <patternFill patternType="solid">
        <fgColor rgb="FFFFF2CC"/>
        <bgColor rgb="FFFFF2CC"/>
      </patternFill>
    </fill>
    <fill>
      <patternFill patternType="solid">
        <fgColor theme="4" tint="0.39997558519241921"/>
        <bgColor indexed="64"/>
      </patternFill>
    </fill>
    <fill>
      <patternFill patternType="solid">
        <fgColor rgb="FF002060"/>
        <bgColor indexed="64"/>
      </patternFill>
    </fill>
    <fill>
      <patternFill patternType="solid">
        <fgColor theme="4"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2" fillId="0" borderId="0" xfId="0" applyFont="1" applyAlignment="1">
      <alignment horizontal="center" vertical="center"/>
    </xf>
    <xf numFmtId="0" fontId="4" fillId="0" borderId="0" xfId="0" applyFont="1"/>
    <xf numFmtId="0" fontId="2" fillId="0" borderId="0" xfId="0" applyFont="1"/>
    <xf numFmtId="164" fontId="2" fillId="0" borderId="0" xfId="0" applyNumberFormat="1" applyFon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0" borderId="0" xfId="0" applyNumberFormat="1"/>
    <xf numFmtId="0" fontId="8" fillId="5" borderId="0" xfId="0" applyFont="1" applyFill="1" applyAlignment="1">
      <alignment horizontal="center"/>
    </xf>
    <xf numFmtId="0" fontId="7" fillId="0" borderId="1" xfId="0" applyFont="1" applyBorder="1" applyAlignment="1">
      <alignment wrapText="1"/>
    </xf>
  </cellXfs>
  <cellStyles count="1">
    <cellStyle name="Normal" xfId="0" builtinId="0"/>
  </cellStyles>
  <dxfs count="15">
    <dxf>
      <font>
        <color rgb="FF9C0006"/>
      </font>
      <fill>
        <patternFill>
          <bgColor rgb="FFFFC7CE"/>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exam.xlsx]month sales!PivotTable1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 sales'!$A$4:$A$17</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'month sales'!$B$4:$B$17</c:f>
              <c:numCache>
                <c:formatCode>General</c:formatCode>
                <c:ptCount val="13"/>
                <c:pt idx="0">
                  <c:v>20919.330000000002</c:v>
                </c:pt>
                <c:pt idx="1">
                  <c:v>17039.349999999999</c:v>
                </c:pt>
                <c:pt idx="2">
                  <c:v>19299.45</c:v>
                </c:pt>
                <c:pt idx="3">
                  <c:v>18479.400000000001</c:v>
                </c:pt>
                <c:pt idx="4">
                  <c:v>15759.43</c:v>
                </c:pt>
                <c:pt idx="5">
                  <c:v>12989.51</c:v>
                </c:pt>
                <c:pt idx="6">
                  <c:v>20609.52</c:v>
                </c:pt>
                <c:pt idx="7">
                  <c:v>12309.44</c:v>
                </c:pt>
                <c:pt idx="8">
                  <c:v>23039.3</c:v>
                </c:pt>
                <c:pt idx="9">
                  <c:v>25799.15</c:v>
                </c:pt>
                <c:pt idx="10">
                  <c:v>16069.38</c:v>
                </c:pt>
                <c:pt idx="11">
                  <c:v>19899.38</c:v>
                </c:pt>
                <c:pt idx="12">
                  <c:v>6979.83</c:v>
                </c:pt>
              </c:numCache>
            </c:numRef>
          </c:val>
          <c:extLst>
            <c:ext xmlns:c16="http://schemas.microsoft.com/office/drawing/2014/chart" uri="{C3380CC4-5D6E-409C-BE32-E72D297353CC}">
              <c16:uniqueId val="{00000002-8AE8-4FA4-B6D9-CBEC804AC9C2}"/>
            </c:ext>
          </c:extLst>
        </c:ser>
        <c:dLbls>
          <c:dLblPos val="outEnd"/>
          <c:showLegendKey val="0"/>
          <c:showVal val="1"/>
          <c:showCatName val="0"/>
          <c:showSerName val="0"/>
          <c:showPercent val="0"/>
          <c:showBubbleSize val="0"/>
        </c:dLbls>
        <c:gapWidth val="115"/>
        <c:overlap val="-20"/>
        <c:axId val="766090304"/>
        <c:axId val="766091024"/>
      </c:barChart>
      <c:catAx>
        <c:axId val="766090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091024"/>
        <c:crosses val="autoZero"/>
        <c:auto val="1"/>
        <c:lblAlgn val="ctr"/>
        <c:lblOffset val="100"/>
        <c:noMultiLvlLbl val="0"/>
      </c:catAx>
      <c:valAx>
        <c:axId val="7660910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09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exam.xlsx]product sales!PivotTable3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sales'!$A$2:$A$12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 sales'!$B$2:$B$12</c:f>
              <c:numCache>
                <c:formatCode>General</c:formatCode>
                <c:ptCount val="10"/>
                <c:pt idx="0">
                  <c:v>5219.13</c:v>
                </c:pt>
                <c:pt idx="1">
                  <c:v>15298.98</c:v>
                </c:pt>
                <c:pt idx="2">
                  <c:v>3119.61</c:v>
                </c:pt>
                <c:pt idx="3">
                  <c:v>23399.22</c:v>
                </c:pt>
                <c:pt idx="4">
                  <c:v>7049.53</c:v>
                </c:pt>
                <c:pt idx="5">
                  <c:v>8009.11</c:v>
                </c:pt>
                <c:pt idx="6">
                  <c:v>67499.25</c:v>
                </c:pt>
                <c:pt idx="7">
                  <c:v>21999.119999999999</c:v>
                </c:pt>
                <c:pt idx="8">
                  <c:v>10399.48</c:v>
                </c:pt>
                <c:pt idx="9">
                  <c:v>67199.039999999994</c:v>
                </c:pt>
              </c:numCache>
            </c:numRef>
          </c:val>
          <c:extLst>
            <c:ext xmlns:c16="http://schemas.microsoft.com/office/drawing/2014/chart" uri="{C3380CC4-5D6E-409C-BE32-E72D297353CC}">
              <c16:uniqueId val="{00000002-23EE-4B08-8A16-4EAA58C62413}"/>
            </c:ext>
          </c:extLst>
        </c:ser>
        <c:dLbls>
          <c:dLblPos val="inEnd"/>
          <c:showLegendKey val="0"/>
          <c:showVal val="1"/>
          <c:showCatName val="0"/>
          <c:showSerName val="0"/>
          <c:showPercent val="0"/>
          <c:showBubbleSize val="0"/>
        </c:dLbls>
        <c:gapWidth val="65"/>
        <c:axId val="984984984"/>
        <c:axId val="984983544"/>
      </c:barChart>
      <c:catAx>
        <c:axId val="984984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4983544"/>
        <c:crosses val="autoZero"/>
        <c:auto val="1"/>
        <c:lblAlgn val="ctr"/>
        <c:lblOffset val="100"/>
        <c:noMultiLvlLbl val="0"/>
      </c:catAx>
      <c:valAx>
        <c:axId val="984983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4984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exam.xlsx]customer !PivotTable4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186701662292216"/>
          <c:y val="0.31847295129775444"/>
          <c:w val="0.34647003499562556"/>
          <c:h val="0.57745005832604257"/>
        </c:manualLayout>
      </c:layout>
      <c:pieChart>
        <c:varyColors val="1"/>
        <c:ser>
          <c:idx val="0"/>
          <c:order val="0"/>
          <c:tx>
            <c:strRef>
              <c:f>'customer '!$B$1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'!$A$2:$A$7</c:f>
              <c:strCache>
                <c:ptCount val="5"/>
                <c:pt idx="0">
                  <c:v>Central</c:v>
                </c:pt>
                <c:pt idx="1">
                  <c:v>East</c:v>
                </c:pt>
                <c:pt idx="2">
                  <c:v>North</c:v>
                </c:pt>
                <c:pt idx="3">
                  <c:v>South</c:v>
                </c:pt>
                <c:pt idx="4">
                  <c:v>West</c:v>
                </c:pt>
              </c:strCache>
            </c:strRef>
          </c:cat>
          <c:val>
            <c:numRef>
              <c:f>'customer '!$B$2:$B$7</c:f>
              <c:numCache>
                <c:formatCode>General</c:formatCode>
                <c:ptCount val="5"/>
                <c:pt idx="0">
                  <c:v>54</c:v>
                </c:pt>
                <c:pt idx="1">
                  <c:v>48</c:v>
                </c:pt>
                <c:pt idx="2">
                  <c:v>59</c:v>
                </c:pt>
                <c:pt idx="3">
                  <c:v>42</c:v>
                </c:pt>
                <c:pt idx="4">
                  <c:v>47</c:v>
                </c:pt>
              </c:numCache>
            </c:numRef>
          </c:val>
          <c:extLst>
            <c:ext xmlns:c16="http://schemas.microsoft.com/office/drawing/2014/chart" uri="{C3380CC4-5D6E-409C-BE32-E72D297353CC}">
              <c16:uniqueId val="{0000000C-A3FB-4CD9-ADC9-36EF332F8DB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exam.xlsx]product and quantity!PivotTable6</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'product and quantity'!$B$1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and quantity'!$A$2:$A$12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 and quantity'!$B$2:$B$12</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863C-4604-AC27-B97BFEC26F30}"/>
            </c:ext>
          </c:extLst>
        </c:ser>
        <c:dLbls>
          <c:showLegendKey val="0"/>
          <c:showVal val="1"/>
          <c:showCatName val="0"/>
          <c:showSerName val="0"/>
          <c:showPercent val="0"/>
          <c:showBubbleSize val="0"/>
        </c:dLbls>
        <c:axId val="990888816"/>
        <c:axId val="990588840"/>
        <c:axId val="0"/>
      </c:area3DChart>
      <c:catAx>
        <c:axId val="99088881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588840"/>
        <c:crosses val="autoZero"/>
        <c:auto val="1"/>
        <c:lblAlgn val="ctr"/>
        <c:lblOffset val="100"/>
        <c:noMultiLvlLbl val="0"/>
      </c:catAx>
      <c:valAx>
        <c:axId val="9905888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888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exam.xlsx]top 10!PivotTable7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10'!$B$1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10'!$A$2:$A$52</c:f>
              <c:strCache>
                <c:ptCount val="50"/>
                <c:pt idx="0">
                  <c:v>Arthur Edwards</c:v>
                </c:pt>
                <c:pt idx="1">
                  <c:v>Barbara Young</c:v>
                </c:pt>
                <c:pt idx="2">
                  <c:v>Betty Campbell</c:v>
                </c:pt>
                <c:pt idx="3">
                  <c:v>Carol Evans</c:v>
                </c:pt>
                <c:pt idx="4">
                  <c:v>Charles Allen</c:v>
                </c:pt>
                <c:pt idx="5">
                  <c:v>Cynthia Price</c:v>
                </c:pt>
                <c:pt idx="6">
                  <c:v>Daniel King</c:v>
                </c:pt>
                <c:pt idx="7">
                  <c:v>David Martinez</c:v>
                </c:pt>
                <c:pt idx="8">
                  <c:v>Dennis Gray</c:v>
                </c:pt>
                <c:pt idx="9">
                  <c:v>Dorothy Nelson</c:v>
                </c:pt>
                <c:pt idx="10">
                  <c:v>Douglas Watson</c:v>
                </c:pt>
                <c:pt idx="11">
                  <c:v>Edward Mitchell</c:v>
                </c:pt>
                <c:pt idx="12">
                  <c:v>Elizabeth Hall</c:v>
                </c:pt>
                <c:pt idx="13">
                  <c:v>Emma Wilson</c:v>
                </c:pt>
                <c:pt idx="14">
                  <c:v>Frank Torres</c:v>
                </c:pt>
                <c:pt idx="15">
                  <c:v>George Adams</c:v>
                </c:pt>
                <c:pt idx="16">
                  <c:v>Gerald Murphy</c:v>
                </c:pt>
                <c:pt idx="17">
                  <c:v>Harry Morgan</c:v>
                </c:pt>
                <c:pt idx="18">
                  <c:v>Helen Roberts</c:v>
                </c:pt>
                <c:pt idx="19">
                  <c:v>James Johnson</c:v>
                </c:pt>
                <c:pt idx="20">
                  <c:v>Jennifer Taylor</c:v>
                </c:pt>
                <c:pt idx="21">
                  <c:v>John Smith</c:v>
                </c:pt>
                <c:pt idx="22">
                  <c:v>Joseph Jackson</c:v>
                </c:pt>
                <c:pt idx="23">
                  <c:v>Julie Foster</c:v>
                </c:pt>
                <c:pt idx="24">
                  <c:v>Karen Hill</c:v>
                </c:pt>
                <c:pt idx="25">
                  <c:v>Kathleen Bennett</c:v>
                </c:pt>
                <c:pt idx="26">
                  <c:v>Kevin Scott</c:v>
                </c:pt>
                <c:pt idx="27">
                  <c:v>Lawrence Reed</c:v>
                </c:pt>
                <c:pt idx="28">
                  <c:v>Linda Martin</c:v>
                </c:pt>
                <c:pt idx="29">
                  <c:v>Lisa Anderson</c:v>
                </c:pt>
                <c:pt idx="30">
                  <c:v>Margaret Wright</c:v>
                </c:pt>
                <c:pt idx="31">
                  <c:v>Maria Garcia</c:v>
                </c:pt>
                <c:pt idx="32">
                  <c:v>Mark Carter</c:v>
                </c:pt>
                <c:pt idx="33">
                  <c:v>Michael Brown</c:v>
                </c:pt>
                <c:pt idx="34">
                  <c:v>Michelle Rogers</c:v>
                </c:pt>
                <c:pt idx="35">
                  <c:v>Nancy Collins</c:v>
                </c:pt>
                <c:pt idx="36">
                  <c:v>Patricia Moore</c:v>
                </c:pt>
                <c:pt idx="37">
                  <c:v>Paul Baker</c:v>
                </c:pt>
                <c:pt idx="38">
                  <c:v>Peter Richardson</c:v>
                </c:pt>
                <c:pt idx="39">
                  <c:v>Raymond Ross</c:v>
                </c:pt>
                <c:pt idx="40">
                  <c:v>Richard Lee</c:v>
                </c:pt>
                <c:pt idx="41">
                  <c:v>Robert Thomas</c:v>
                </c:pt>
                <c:pt idx="42">
                  <c:v>Ruth Brooks</c:v>
                </c:pt>
                <c:pt idx="43">
                  <c:v>Sandra Phillips</c:v>
                </c:pt>
                <c:pt idx="44">
                  <c:v>Sarah Davis</c:v>
                </c:pt>
                <c:pt idx="45">
                  <c:v>Sharon Butler</c:v>
                </c:pt>
                <c:pt idx="46">
                  <c:v>Steven Turner</c:v>
                </c:pt>
                <c:pt idx="47">
                  <c:v>Susan Green</c:v>
                </c:pt>
                <c:pt idx="48">
                  <c:v>Virginia Sanders</c:v>
                </c:pt>
                <c:pt idx="49">
                  <c:v>William White</c:v>
                </c:pt>
              </c:strCache>
            </c:strRef>
          </c:cat>
          <c:val>
            <c:numRef>
              <c:f>'top 10'!$B$2:$B$52</c:f>
              <c:numCache>
                <c:formatCode>General</c:formatCode>
                <c:ptCount val="50"/>
                <c:pt idx="0">
                  <c:v>1559.94</c:v>
                </c:pt>
                <c:pt idx="1">
                  <c:v>10649.8</c:v>
                </c:pt>
                <c:pt idx="2">
                  <c:v>5649.84</c:v>
                </c:pt>
                <c:pt idx="3">
                  <c:v>1149.93</c:v>
                </c:pt>
                <c:pt idx="4">
                  <c:v>5089.7299999999996</c:v>
                </c:pt>
                <c:pt idx="5">
                  <c:v>3769.83</c:v>
                </c:pt>
                <c:pt idx="6">
                  <c:v>7309.8</c:v>
                </c:pt>
                <c:pt idx="7">
                  <c:v>1809.84</c:v>
                </c:pt>
                <c:pt idx="8">
                  <c:v>479.92</c:v>
                </c:pt>
                <c:pt idx="9">
                  <c:v>8269.7900000000009</c:v>
                </c:pt>
                <c:pt idx="10">
                  <c:v>4829.8900000000003</c:v>
                </c:pt>
                <c:pt idx="11">
                  <c:v>11919.77</c:v>
                </c:pt>
                <c:pt idx="12">
                  <c:v>3649.86</c:v>
                </c:pt>
                <c:pt idx="13">
                  <c:v>1229.8800000000001</c:v>
                </c:pt>
                <c:pt idx="14">
                  <c:v>1479.91</c:v>
                </c:pt>
                <c:pt idx="15">
                  <c:v>3779.93</c:v>
                </c:pt>
                <c:pt idx="16">
                  <c:v>6379.87</c:v>
                </c:pt>
                <c:pt idx="17">
                  <c:v>5519.89</c:v>
                </c:pt>
                <c:pt idx="18">
                  <c:v>6459.79</c:v>
                </c:pt>
                <c:pt idx="19">
                  <c:v>179.97</c:v>
                </c:pt>
                <c:pt idx="20">
                  <c:v>4739.8500000000004</c:v>
                </c:pt>
                <c:pt idx="21">
                  <c:v>599.96</c:v>
                </c:pt>
                <c:pt idx="22">
                  <c:v>6949.84</c:v>
                </c:pt>
                <c:pt idx="23">
                  <c:v>239.96</c:v>
                </c:pt>
                <c:pt idx="24">
                  <c:v>8009.77</c:v>
                </c:pt>
                <c:pt idx="25">
                  <c:v>4309.8100000000004</c:v>
                </c:pt>
                <c:pt idx="26">
                  <c:v>3259.87</c:v>
                </c:pt>
                <c:pt idx="27">
                  <c:v>6989.77</c:v>
                </c:pt>
                <c:pt idx="28">
                  <c:v>1289.9000000000001</c:v>
                </c:pt>
                <c:pt idx="29">
                  <c:v>2039.8</c:v>
                </c:pt>
                <c:pt idx="30">
                  <c:v>2099.88</c:v>
                </c:pt>
                <c:pt idx="31">
                  <c:v>1909.93</c:v>
                </c:pt>
                <c:pt idx="32">
                  <c:v>15659.65</c:v>
                </c:pt>
                <c:pt idx="33">
                  <c:v>6169.74</c:v>
                </c:pt>
                <c:pt idx="34">
                  <c:v>4199.9399999999996</c:v>
                </c:pt>
                <c:pt idx="35">
                  <c:v>4189.7700000000004</c:v>
                </c:pt>
                <c:pt idx="36">
                  <c:v>9799.73</c:v>
                </c:pt>
                <c:pt idx="37">
                  <c:v>8309.74</c:v>
                </c:pt>
                <c:pt idx="38">
                  <c:v>5949.85</c:v>
                </c:pt>
                <c:pt idx="39">
                  <c:v>3669.85</c:v>
                </c:pt>
                <c:pt idx="40">
                  <c:v>739.93</c:v>
                </c:pt>
                <c:pt idx="41">
                  <c:v>3509.9</c:v>
                </c:pt>
                <c:pt idx="42">
                  <c:v>1749.92</c:v>
                </c:pt>
                <c:pt idx="43">
                  <c:v>6349.83</c:v>
                </c:pt>
                <c:pt idx="44">
                  <c:v>5499.81</c:v>
                </c:pt>
                <c:pt idx="45">
                  <c:v>5619.87</c:v>
                </c:pt>
                <c:pt idx="46">
                  <c:v>2649.83</c:v>
                </c:pt>
                <c:pt idx="47">
                  <c:v>1979.89</c:v>
                </c:pt>
                <c:pt idx="48">
                  <c:v>4789.79</c:v>
                </c:pt>
                <c:pt idx="49">
                  <c:v>4749.91</c:v>
                </c:pt>
              </c:numCache>
            </c:numRef>
          </c:val>
          <c:extLst>
            <c:ext xmlns:c16="http://schemas.microsoft.com/office/drawing/2014/chart" uri="{C3380CC4-5D6E-409C-BE32-E72D297353CC}">
              <c16:uniqueId val="{00000000-EACC-459A-A971-9B419B90523F}"/>
            </c:ext>
          </c:extLst>
        </c:ser>
        <c:dLbls>
          <c:showLegendKey val="0"/>
          <c:showVal val="0"/>
          <c:showCatName val="0"/>
          <c:showSerName val="0"/>
          <c:showPercent val="0"/>
          <c:showBubbleSize val="0"/>
        </c:dLbls>
        <c:gapWidth val="150"/>
        <c:shape val="box"/>
        <c:axId val="1055053216"/>
        <c:axId val="1055055016"/>
        <c:axId val="0"/>
      </c:bar3DChart>
      <c:catAx>
        <c:axId val="105505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5055016"/>
        <c:crosses val="autoZero"/>
        <c:auto val="1"/>
        <c:lblAlgn val="ctr"/>
        <c:lblOffset val="100"/>
        <c:noMultiLvlLbl val="0"/>
      </c:catAx>
      <c:valAx>
        <c:axId val="105505501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505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exam.xlsx]customer !PivotTable4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'customer '!$B$1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'!$A$2:$A$7</c:f>
              <c:strCache>
                <c:ptCount val="5"/>
                <c:pt idx="0">
                  <c:v>Central</c:v>
                </c:pt>
                <c:pt idx="1">
                  <c:v>East</c:v>
                </c:pt>
                <c:pt idx="2">
                  <c:v>North</c:v>
                </c:pt>
                <c:pt idx="3">
                  <c:v>South</c:v>
                </c:pt>
                <c:pt idx="4">
                  <c:v>West</c:v>
                </c:pt>
              </c:strCache>
            </c:strRef>
          </c:cat>
          <c:val>
            <c:numRef>
              <c:f>'customer '!$B$2:$B$7</c:f>
              <c:numCache>
                <c:formatCode>General</c:formatCode>
                <c:ptCount val="5"/>
                <c:pt idx="0">
                  <c:v>54</c:v>
                </c:pt>
                <c:pt idx="1">
                  <c:v>48</c:v>
                </c:pt>
                <c:pt idx="2">
                  <c:v>59</c:v>
                </c:pt>
                <c:pt idx="3">
                  <c:v>42</c:v>
                </c:pt>
                <c:pt idx="4">
                  <c:v>47</c:v>
                </c:pt>
              </c:numCache>
            </c:numRef>
          </c:val>
          <c:extLst>
            <c:ext xmlns:c16="http://schemas.microsoft.com/office/drawing/2014/chart" uri="{C3380CC4-5D6E-409C-BE32-E72D297353CC}">
              <c16:uniqueId val="{0000000B-7A06-41C9-973D-540A21C9DF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exam.xlsx]month sales!PivotTable1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 sales'!$A$4:$A$17</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'month sales'!$B$4:$B$17</c:f>
              <c:numCache>
                <c:formatCode>General</c:formatCode>
                <c:ptCount val="13"/>
                <c:pt idx="0">
                  <c:v>20919.330000000002</c:v>
                </c:pt>
                <c:pt idx="1">
                  <c:v>17039.349999999999</c:v>
                </c:pt>
                <c:pt idx="2">
                  <c:v>19299.45</c:v>
                </c:pt>
                <c:pt idx="3">
                  <c:v>18479.400000000001</c:v>
                </c:pt>
                <c:pt idx="4">
                  <c:v>15759.43</c:v>
                </c:pt>
                <c:pt idx="5">
                  <c:v>12989.51</c:v>
                </c:pt>
                <c:pt idx="6">
                  <c:v>20609.52</c:v>
                </c:pt>
                <c:pt idx="7">
                  <c:v>12309.44</c:v>
                </c:pt>
                <c:pt idx="8">
                  <c:v>23039.3</c:v>
                </c:pt>
                <c:pt idx="9">
                  <c:v>25799.15</c:v>
                </c:pt>
                <c:pt idx="10">
                  <c:v>16069.38</c:v>
                </c:pt>
                <c:pt idx="11">
                  <c:v>19899.38</c:v>
                </c:pt>
                <c:pt idx="12">
                  <c:v>6979.83</c:v>
                </c:pt>
              </c:numCache>
            </c:numRef>
          </c:val>
          <c:extLst>
            <c:ext xmlns:c16="http://schemas.microsoft.com/office/drawing/2014/chart" uri="{C3380CC4-5D6E-409C-BE32-E72D297353CC}">
              <c16:uniqueId val="{00000001-F65F-47EC-B253-27003F0E1CA9}"/>
            </c:ext>
          </c:extLst>
        </c:ser>
        <c:dLbls>
          <c:dLblPos val="outEnd"/>
          <c:showLegendKey val="0"/>
          <c:showVal val="1"/>
          <c:showCatName val="0"/>
          <c:showSerName val="0"/>
          <c:showPercent val="0"/>
          <c:showBubbleSize val="0"/>
        </c:dLbls>
        <c:gapWidth val="115"/>
        <c:overlap val="-20"/>
        <c:axId val="766090304"/>
        <c:axId val="766091024"/>
      </c:barChart>
      <c:catAx>
        <c:axId val="766090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091024"/>
        <c:crosses val="autoZero"/>
        <c:auto val="1"/>
        <c:lblAlgn val="ctr"/>
        <c:lblOffset val="100"/>
        <c:noMultiLvlLbl val="0"/>
      </c:catAx>
      <c:valAx>
        <c:axId val="7660910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09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exam.xlsx]product sales!PivotTable3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sales'!$A$2:$A$12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 sales'!$B$2:$B$12</c:f>
              <c:numCache>
                <c:formatCode>General</c:formatCode>
                <c:ptCount val="10"/>
                <c:pt idx="0">
                  <c:v>5219.13</c:v>
                </c:pt>
                <c:pt idx="1">
                  <c:v>15298.98</c:v>
                </c:pt>
                <c:pt idx="2">
                  <c:v>3119.61</c:v>
                </c:pt>
                <c:pt idx="3">
                  <c:v>23399.22</c:v>
                </c:pt>
                <c:pt idx="4">
                  <c:v>7049.53</c:v>
                </c:pt>
                <c:pt idx="5">
                  <c:v>8009.11</c:v>
                </c:pt>
                <c:pt idx="6">
                  <c:v>67499.25</c:v>
                </c:pt>
                <c:pt idx="7">
                  <c:v>21999.119999999999</c:v>
                </c:pt>
                <c:pt idx="8">
                  <c:v>10399.48</c:v>
                </c:pt>
                <c:pt idx="9">
                  <c:v>67199.039999999994</c:v>
                </c:pt>
              </c:numCache>
            </c:numRef>
          </c:val>
          <c:extLst>
            <c:ext xmlns:c16="http://schemas.microsoft.com/office/drawing/2014/chart" uri="{C3380CC4-5D6E-409C-BE32-E72D297353CC}">
              <c16:uniqueId val="{00000001-1C04-4F34-B927-9A183F2D9065}"/>
            </c:ext>
          </c:extLst>
        </c:ser>
        <c:dLbls>
          <c:dLblPos val="inEnd"/>
          <c:showLegendKey val="0"/>
          <c:showVal val="1"/>
          <c:showCatName val="0"/>
          <c:showSerName val="0"/>
          <c:showPercent val="0"/>
          <c:showBubbleSize val="0"/>
        </c:dLbls>
        <c:gapWidth val="65"/>
        <c:axId val="984984984"/>
        <c:axId val="984983544"/>
      </c:barChart>
      <c:catAx>
        <c:axId val="984984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4983544"/>
        <c:crosses val="autoZero"/>
        <c:auto val="1"/>
        <c:lblAlgn val="ctr"/>
        <c:lblOffset val="100"/>
        <c:noMultiLvlLbl val="0"/>
      </c:catAx>
      <c:valAx>
        <c:axId val="984983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4984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exam.xlsx]product and quantity!PivotTable6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'product and quantity'!$B$1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'product and quantity'!$A$2:$A$12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 and quantity'!$B$2:$B$12</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01C6-4C09-8B90-254DC64555FB}"/>
            </c:ext>
          </c:extLst>
        </c:ser>
        <c:dLbls>
          <c:showLegendKey val="0"/>
          <c:showVal val="0"/>
          <c:showCatName val="0"/>
          <c:showSerName val="0"/>
          <c:showPercent val="0"/>
          <c:showBubbleSize val="0"/>
        </c:dLbls>
        <c:axId val="990888816"/>
        <c:axId val="990588840"/>
        <c:axId val="0"/>
      </c:area3DChart>
      <c:catAx>
        <c:axId val="99088881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588840"/>
        <c:crosses val="autoZero"/>
        <c:auto val="1"/>
        <c:lblAlgn val="ctr"/>
        <c:lblOffset val="100"/>
        <c:noMultiLvlLbl val="0"/>
      </c:catAx>
      <c:valAx>
        <c:axId val="9905888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888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exam.xlsx]top 10!PivotTable7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10'!$B$1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10'!$A$2:$A$52</c:f>
              <c:strCache>
                <c:ptCount val="50"/>
                <c:pt idx="0">
                  <c:v>Arthur Edwards</c:v>
                </c:pt>
                <c:pt idx="1">
                  <c:v>Barbara Young</c:v>
                </c:pt>
                <c:pt idx="2">
                  <c:v>Betty Campbell</c:v>
                </c:pt>
                <c:pt idx="3">
                  <c:v>Carol Evans</c:v>
                </c:pt>
                <c:pt idx="4">
                  <c:v>Charles Allen</c:v>
                </c:pt>
                <c:pt idx="5">
                  <c:v>Cynthia Price</c:v>
                </c:pt>
                <c:pt idx="6">
                  <c:v>Daniel King</c:v>
                </c:pt>
                <c:pt idx="7">
                  <c:v>David Martinez</c:v>
                </c:pt>
                <c:pt idx="8">
                  <c:v>Dennis Gray</c:v>
                </c:pt>
                <c:pt idx="9">
                  <c:v>Dorothy Nelson</c:v>
                </c:pt>
                <c:pt idx="10">
                  <c:v>Douglas Watson</c:v>
                </c:pt>
                <c:pt idx="11">
                  <c:v>Edward Mitchell</c:v>
                </c:pt>
                <c:pt idx="12">
                  <c:v>Elizabeth Hall</c:v>
                </c:pt>
                <c:pt idx="13">
                  <c:v>Emma Wilson</c:v>
                </c:pt>
                <c:pt idx="14">
                  <c:v>Frank Torres</c:v>
                </c:pt>
                <c:pt idx="15">
                  <c:v>George Adams</c:v>
                </c:pt>
                <c:pt idx="16">
                  <c:v>Gerald Murphy</c:v>
                </c:pt>
                <c:pt idx="17">
                  <c:v>Harry Morgan</c:v>
                </c:pt>
                <c:pt idx="18">
                  <c:v>Helen Roberts</c:v>
                </c:pt>
                <c:pt idx="19">
                  <c:v>James Johnson</c:v>
                </c:pt>
                <c:pt idx="20">
                  <c:v>Jennifer Taylor</c:v>
                </c:pt>
                <c:pt idx="21">
                  <c:v>John Smith</c:v>
                </c:pt>
                <c:pt idx="22">
                  <c:v>Joseph Jackson</c:v>
                </c:pt>
                <c:pt idx="23">
                  <c:v>Julie Foster</c:v>
                </c:pt>
                <c:pt idx="24">
                  <c:v>Karen Hill</c:v>
                </c:pt>
                <c:pt idx="25">
                  <c:v>Kathleen Bennett</c:v>
                </c:pt>
                <c:pt idx="26">
                  <c:v>Kevin Scott</c:v>
                </c:pt>
                <c:pt idx="27">
                  <c:v>Lawrence Reed</c:v>
                </c:pt>
                <c:pt idx="28">
                  <c:v>Linda Martin</c:v>
                </c:pt>
                <c:pt idx="29">
                  <c:v>Lisa Anderson</c:v>
                </c:pt>
                <c:pt idx="30">
                  <c:v>Margaret Wright</c:v>
                </c:pt>
                <c:pt idx="31">
                  <c:v>Maria Garcia</c:v>
                </c:pt>
                <c:pt idx="32">
                  <c:v>Mark Carter</c:v>
                </c:pt>
                <c:pt idx="33">
                  <c:v>Michael Brown</c:v>
                </c:pt>
                <c:pt idx="34">
                  <c:v>Michelle Rogers</c:v>
                </c:pt>
                <c:pt idx="35">
                  <c:v>Nancy Collins</c:v>
                </c:pt>
                <c:pt idx="36">
                  <c:v>Patricia Moore</c:v>
                </c:pt>
                <c:pt idx="37">
                  <c:v>Paul Baker</c:v>
                </c:pt>
                <c:pt idx="38">
                  <c:v>Peter Richardson</c:v>
                </c:pt>
                <c:pt idx="39">
                  <c:v>Raymond Ross</c:v>
                </c:pt>
                <c:pt idx="40">
                  <c:v>Richard Lee</c:v>
                </c:pt>
                <c:pt idx="41">
                  <c:v>Robert Thomas</c:v>
                </c:pt>
                <c:pt idx="42">
                  <c:v>Ruth Brooks</c:v>
                </c:pt>
                <c:pt idx="43">
                  <c:v>Sandra Phillips</c:v>
                </c:pt>
                <c:pt idx="44">
                  <c:v>Sarah Davis</c:v>
                </c:pt>
                <c:pt idx="45">
                  <c:v>Sharon Butler</c:v>
                </c:pt>
                <c:pt idx="46">
                  <c:v>Steven Turner</c:v>
                </c:pt>
                <c:pt idx="47">
                  <c:v>Susan Green</c:v>
                </c:pt>
                <c:pt idx="48">
                  <c:v>Virginia Sanders</c:v>
                </c:pt>
                <c:pt idx="49">
                  <c:v>William White</c:v>
                </c:pt>
              </c:strCache>
            </c:strRef>
          </c:cat>
          <c:val>
            <c:numRef>
              <c:f>'top 10'!$B$2:$B$52</c:f>
              <c:numCache>
                <c:formatCode>General</c:formatCode>
                <c:ptCount val="50"/>
                <c:pt idx="0">
                  <c:v>1559.94</c:v>
                </c:pt>
                <c:pt idx="1">
                  <c:v>10649.8</c:v>
                </c:pt>
                <c:pt idx="2">
                  <c:v>5649.84</c:v>
                </c:pt>
                <c:pt idx="3">
                  <c:v>1149.93</c:v>
                </c:pt>
                <c:pt idx="4">
                  <c:v>5089.7299999999996</c:v>
                </c:pt>
                <c:pt idx="5">
                  <c:v>3769.83</c:v>
                </c:pt>
                <c:pt idx="6">
                  <c:v>7309.8</c:v>
                </c:pt>
                <c:pt idx="7">
                  <c:v>1809.84</c:v>
                </c:pt>
                <c:pt idx="8">
                  <c:v>479.92</c:v>
                </c:pt>
                <c:pt idx="9">
                  <c:v>8269.7900000000009</c:v>
                </c:pt>
                <c:pt idx="10">
                  <c:v>4829.8900000000003</c:v>
                </c:pt>
                <c:pt idx="11">
                  <c:v>11919.77</c:v>
                </c:pt>
                <c:pt idx="12">
                  <c:v>3649.86</c:v>
                </c:pt>
                <c:pt idx="13">
                  <c:v>1229.8800000000001</c:v>
                </c:pt>
                <c:pt idx="14">
                  <c:v>1479.91</c:v>
                </c:pt>
                <c:pt idx="15">
                  <c:v>3779.93</c:v>
                </c:pt>
                <c:pt idx="16">
                  <c:v>6379.87</c:v>
                </c:pt>
                <c:pt idx="17">
                  <c:v>5519.89</c:v>
                </c:pt>
                <c:pt idx="18">
                  <c:v>6459.79</c:v>
                </c:pt>
                <c:pt idx="19">
                  <c:v>179.97</c:v>
                </c:pt>
                <c:pt idx="20">
                  <c:v>4739.8500000000004</c:v>
                </c:pt>
                <c:pt idx="21">
                  <c:v>599.96</c:v>
                </c:pt>
                <c:pt idx="22">
                  <c:v>6949.84</c:v>
                </c:pt>
                <c:pt idx="23">
                  <c:v>239.96</c:v>
                </c:pt>
                <c:pt idx="24">
                  <c:v>8009.77</c:v>
                </c:pt>
                <c:pt idx="25">
                  <c:v>4309.8100000000004</c:v>
                </c:pt>
                <c:pt idx="26">
                  <c:v>3259.87</c:v>
                </c:pt>
                <c:pt idx="27">
                  <c:v>6989.77</c:v>
                </c:pt>
                <c:pt idx="28">
                  <c:v>1289.9000000000001</c:v>
                </c:pt>
                <c:pt idx="29">
                  <c:v>2039.8</c:v>
                </c:pt>
                <c:pt idx="30">
                  <c:v>2099.88</c:v>
                </c:pt>
                <c:pt idx="31">
                  <c:v>1909.93</c:v>
                </c:pt>
                <c:pt idx="32">
                  <c:v>15659.65</c:v>
                </c:pt>
                <c:pt idx="33">
                  <c:v>6169.74</c:v>
                </c:pt>
                <c:pt idx="34">
                  <c:v>4199.9399999999996</c:v>
                </c:pt>
                <c:pt idx="35">
                  <c:v>4189.7700000000004</c:v>
                </c:pt>
                <c:pt idx="36">
                  <c:v>9799.73</c:v>
                </c:pt>
                <c:pt idx="37">
                  <c:v>8309.74</c:v>
                </c:pt>
                <c:pt idx="38">
                  <c:v>5949.85</c:v>
                </c:pt>
                <c:pt idx="39">
                  <c:v>3669.85</c:v>
                </c:pt>
                <c:pt idx="40">
                  <c:v>739.93</c:v>
                </c:pt>
                <c:pt idx="41">
                  <c:v>3509.9</c:v>
                </c:pt>
                <c:pt idx="42">
                  <c:v>1749.92</c:v>
                </c:pt>
                <c:pt idx="43">
                  <c:v>6349.83</c:v>
                </c:pt>
                <c:pt idx="44">
                  <c:v>5499.81</c:v>
                </c:pt>
                <c:pt idx="45">
                  <c:v>5619.87</c:v>
                </c:pt>
                <c:pt idx="46">
                  <c:v>2649.83</c:v>
                </c:pt>
                <c:pt idx="47">
                  <c:v>1979.89</c:v>
                </c:pt>
                <c:pt idx="48">
                  <c:v>4789.79</c:v>
                </c:pt>
                <c:pt idx="49">
                  <c:v>4749.91</c:v>
                </c:pt>
              </c:numCache>
            </c:numRef>
          </c:val>
          <c:extLst>
            <c:ext xmlns:c16="http://schemas.microsoft.com/office/drawing/2014/chart" uri="{C3380CC4-5D6E-409C-BE32-E72D297353CC}">
              <c16:uniqueId val="{00000000-D741-41CE-8DD4-04F736B68F85}"/>
            </c:ext>
          </c:extLst>
        </c:ser>
        <c:dLbls>
          <c:showLegendKey val="0"/>
          <c:showVal val="0"/>
          <c:showCatName val="0"/>
          <c:showSerName val="0"/>
          <c:showPercent val="0"/>
          <c:showBubbleSize val="0"/>
        </c:dLbls>
        <c:gapWidth val="150"/>
        <c:shape val="box"/>
        <c:axId val="1055053216"/>
        <c:axId val="1055055016"/>
        <c:axId val="0"/>
      </c:bar3DChart>
      <c:catAx>
        <c:axId val="105505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5055016"/>
        <c:crosses val="autoZero"/>
        <c:auto val="1"/>
        <c:lblAlgn val="ctr"/>
        <c:lblOffset val="100"/>
        <c:noMultiLvlLbl val="0"/>
      </c:catAx>
      <c:valAx>
        <c:axId val="105505501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505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434170</xdr:colOff>
      <xdr:row>3</xdr:row>
      <xdr:rowOff>43126</xdr:rowOff>
    </xdr:from>
    <xdr:to>
      <xdr:col>15</xdr:col>
      <xdr:colOff>133328</xdr:colOff>
      <xdr:row>18</xdr:row>
      <xdr:rowOff>13811</xdr:rowOff>
    </xdr:to>
    <xdr:graphicFrame macro="">
      <xdr:nvGraphicFramePr>
        <xdr:cNvPr id="2" name="Chart 1">
          <a:extLst>
            <a:ext uri="{FF2B5EF4-FFF2-40B4-BE49-F238E27FC236}">
              <a16:creationId xmlns:a16="http://schemas.microsoft.com/office/drawing/2014/main" id="{136FEF5A-0475-4D97-A7C5-8B5E6FF11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355601</xdr:colOff>
      <xdr:row>3</xdr:row>
      <xdr:rowOff>76200</xdr:rowOff>
    </xdr:from>
    <xdr:to>
      <xdr:col>25</xdr:col>
      <xdr:colOff>270933</xdr:colOff>
      <xdr:row>17</xdr:row>
      <xdr:rowOff>143934</xdr:rowOff>
    </xdr:to>
    <xdr:graphicFrame macro="">
      <xdr:nvGraphicFramePr>
        <xdr:cNvPr id="3" name="Chart 2">
          <a:extLst>
            <a:ext uri="{FF2B5EF4-FFF2-40B4-BE49-F238E27FC236}">
              <a16:creationId xmlns:a16="http://schemas.microsoft.com/office/drawing/2014/main" id="{3649F582-BBB6-4F13-8967-E01C992B9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416187</xdr:colOff>
      <xdr:row>18</xdr:row>
      <xdr:rowOff>25400</xdr:rowOff>
    </xdr:from>
    <xdr:to>
      <xdr:col>13</xdr:col>
      <xdr:colOff>237067</xdr:colOff>
      <xdr:row>31</xdr:row>
      <xdr:rowOff>160865</xdr:rowOff>
    </xdr:to>
    <xdr:graphicFrame macro="">
      <xdr:nvGraphicFramePr>
        <xdr:cNvPr id="4" name="Chart 3">
          <a:extLst>
            <a:ext uri="{FF2B5EF4-FFF2-40B4-BE49-F238E27FC236}">
              <a16:creationId xmlns:a16="http://schemas.microsoft.com/office/drawing/2014/main" id="{57CABA42-B7C7-442C-8585-527C14B53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347133</xdr:colOff>
      <xdr:row>18</xdr:row>
      <xdr:rowOff>42333</xdr:rowOff>
    </xdr:from>
    <xdr:to>
      <xdr:col>19</xdr:col>
      <xdr:colOff>533400</xdr:colOff>
      <xdr:row>31</xdr:row>
      <xdr:rowOff>67733</xdr:rowOff>
    </xdr:to>
    <xdr:graphicFrame macro="">
      <xdr:nvGraphicFramePr>
        <xdr:cNvPr id="7" name="Chart 6">
          <a:extLst>
            <a:ext uri="{FF2B5EF4-FFF2-40B4-BE49-F238E27FC236}">
              <a16:creationId xmlns:a16="http://schemas.microsoft.com/office/drawing/2014/main" id="{293BCFE8-AA3E-4875-A883-1B11F8272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76200</xdr:colOff>
      <xdr:row>18</xdr:row>
      <xdr:rowOff>8467</xdr:rowOff>
    </xdr:from>
    <xdr:to>
      <xdr:col>26</xdr:col>
      <xdr:colOff>287867</xdr:colOff>
      <xdr:row>31</xdr:row>
      <xdr:rowOff>84666</xdr:rowOff>
    </xdr:to>
    <xdr:graphicFrame macro="">
      <xdr:nvGraphicFramePr>
        <xdr:cNvPr id="9" name="Chart 8">
          <a:extLst>
            <a:ext uri="{FF2B5EF4-FFF2-40B4-BE49-F238E27FC236}">
              <a16:creationId xmlns:a16="http://schemas.microsoft.com/office/drawing/2014/main" id="{391C25E5-73A3-4E1F-B4D0-48C37A811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133773</xdr:colOff>
      <xdr:row>3</xdr:row>
      <xdr:rowOff>125308</xdr:rowOff>
    </xdr:from>
    <xdr:to>
      <xdr:col>4</xdr:col>
      <xdr:colOff>133773</xdr:colOff>
      <xdr:row>30</xdr:row>
      <xdr:rowOff>33867</xdr:rowOff>
    </xdr:to>
    <mc:AlternateContent xmlns:mc="http://schemas.openxmlformats.org/markup-compatibility/2006" xmlns:a14="http://schemas.microsoft.com/office/drawing/2010/main">
      <mc:Choice Requires="a14">
        <xdr:graphicFrame macro="">
          <xdr:nvGraphicFramePr>
            <xdr:cNvPr id="12" name="Customer_Name">
              <a:extLst>
                <a:ext uri="{FF2B5EF4-FFF2-40B4-BE49-F238E27FC236}">
                  <a16:creationId xmlns:a16="http://schemas.microsoft.com/office/drawing/2014/main" id="{35F5362A-6A75-8711-2104-7B5666D6E5AD}"/>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743373" y="668233"/>
              <a:ext cx="1828800" cy="4794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357082</xdr:colOff>
      <xdr:row>4</xdr:row>
      <xdr:rowOff>171451</xdr:rowOff>
    </xdr:from>
    <xdr:to>
      <xdr:col>7</xdr:col>
      <xdr:colOff>357082</xdr:colOff>
      <xdr:row>15</xdr:row>
      <xdr:rowOff>28576</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04B97774-AAAC-0999-2B40-3A5A91AB85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95482" y="895351"/>
              <a:ext cx="18288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315806</xdr:colOff>
      <xdr:row>16</xdr:row>
      <xdr:rowOff>167640</xdr:rowOff>
    </xdr:from>
    <xdr:to>
      <xdr:col>7</xdr:col>
      <xdr:colOff>315806</xdr:colOff>
      <xdr:row>25</xdr:row>
      <xdr:rowOff>114301</xdr:rowOff>
    </xdr:to>
    <mc:AlternateContent xmlns:mc="http://schemas.openxmlformats.org/markup-compatibility/2006" xmlns:a14="http://schemas.microsoft.com/office/drawing/2010/main">
      <mc:Choice Requires="a14">
        <xdr:graphicFrame macro="">
          <xdr:nvGraphicFramePr>
            <xdr:cNvPr id="14" name="Payment_Method">
              <a:extLst>
                <a:ext uri="{FF2B5EF4-FFF2-40B4-BE49-F238E27FC236}">
                  <a16:creationId xmlns:a16="http://schemas.microsoft.com/office/drawing/2014/main" id="{FCAC51DD-2547-FE43-D063-0EEEF67D584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754206" y="3063240"/>
              <a:ext cx="1828800" cy="1575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6</xdr:row>
      <xdr:rowOff>148590</xdr:rowOff>
    </xdr:from>
    <xdr:to>
      <xdr:col>11</xdr:col>
      <xdr:colOff>419100</xdr:colOff>
      <xdr:row>21</xdr:row>
      <xdr:rowOff>148590</xdr:rowOff>
    </xdr:to>
    <xdr:graphicFrame macro="">
      <xdr:nvGraphicFramePr>
        <xdr:cNvPr id="2" name="Chart 1">
          <a:extLst>
            <a:ext uri="{FF2B5EF4-FFF2-40B4-BE49-F238E27FC236}">
              <a16:creationId xmlns:a16="http://schemas.microsoft.com/office/drawing/2014/main" id="{5AE31897-DD6D-57BE-44EA-D534730C1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350520</xdr:colOff>
      <xdr:row>6</xdr:row>
      <xdr:rowOff>148590</xdr:rowOff>
    </xdr:from>
    <xdr:to>
      <xdr:col>12</xdr:col>
      <xdr:colOff>45720</xdr:colOff>
      <xdr:row>21</xdr:row>
      <xdr:rowOff>148590</xdr:rowOff>
    </xdr:to>
    <xdr:graphicFrame macro="">
      <xdr:nvGraphicFramePr>
        <xdr:cNvPr id="3" name="Chart 2">
          <a:extLst>
            <a:ext uri="{FF2B5EF4-FFF2-40B4-BE49-F238E27FC236}">
              <a16:creationId xmlns:a16="http://schemas.microsoft.com/office/drawing/2014/main" id="{EA0C8116-9E85-A948-A449-CA91AF658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350520</xdr:colOff>
      <xdr:row>6</xdr:row>
      <xdr:rowOff>148590</xdr:rowOff>
    </xdr:from>
    <xdr:to>
      <xdr:col>12</xdr:col>
      <xdr:colOff>45720</xdr:colOff>
      <xdr:row>21</xdr:row>
      <xdr:rowOff>148590</xdr:rowOff>
    </xdr:to>
    <xdr:graphicFrame macro="">
      <xdr:nvGraphicFramePr>
        <xdr:cNvPr id="3" name="Chart 2">
          <a:extLst>
            <a:ext uri="{FF2B5EF4-FFF2-40B4-BE49-F238E27FC236}">
              <a16:creationId xmlns:a16="http://schemas.microsoft.com/office/drawing/2014/main" id="{0555676A-D0D8-0DD3-0CC0-08968B661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76200</xdr:colOff>
      <xdr:row>6</xdr:row>
      <xdr:rowOff>148590</xdr:rowOff>
    </xdr:from>
    <xdr:to>
      <xdr:col>12</xdr:col>
      <xdr:colOff>381000</xdr:colOff>
      <xdr:row>21</xdr:row>
      <xdr:rowOff>148590</xdr:rowOff>
    </xdr:to>
    <xdr:graphicFrame macro="">
      <xdr:nvGraphicFramePr>
        <xdr:cNvPr id="2" name="Chart 1">
          <a:extLst>
            <a:ext uri="{FF2B5EF4-FFF2-40B4-BE49-F238E27FC236}">
              <a16:creationId xmlns:a16="http://schemas.microsoft.com/office/drawing/2014/main" id="{33EA0B1C-067A-944B-4E08-A4A2A1015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236220</xdr:colOff>
      <xdr:row>6</xdr:row>
      <xdr:rowOff>148590</xdr:rowOff>
    </xdr:from>
    <xdr:to>
      <xdr:col>11</xdr:col>
      <xdr:colOff>541020</xdr:colOff>
      <xdr:row>21</xdr:row>
      <xdr:rowOff>148590</xdr:rowOff>
    </xdr:to>
    <xdr:graphicFrame macro="">
      <xdr:nvGraphicFramePr>
        <xdr:cNvPr id="2" name="Chart 1">
          <a:extLst>
            <a:ext uri="{FF2B5EF4-FFF2-40B4-BE49-F238E27FC236}">
              <a16:creationId xmlns:a16="http://schemas.microsoft.com/office/drawing/2014/main" id="{394E821D-0C32-2AD6-F7F4-EEA6FBE71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2939212963" backgroundQuery="1" createdVersion="8" refreshedVersion="8" minRefreshableVersion="3" recordCount="0" supportSubquery="1" supportAdvancedDrill="1" xr:uid="{3AAE4E3C-9DD2-49BB-9DCB-9CB7557F5FF9}">
  <cacheSource type="external" connectionId="1"/>
  <cacheFields count="4">
    <cacheField name="[tanish].[Product_Name].[Product_Name]" caption="Product_Name" numFmtId="0" hierarchy="20" level="1">
      <sharedItems count="10">
        <s v="Blender"/>
        <s v="Bookshelf"/>
        <s v="Coffee Maker"/>
        <s v="Desk"/>
        <s v="Headphones"/>
        <s v="Keyboard"/>
        <s v="Laptop"/>
        <s v="Monitor"/>
        <s v="Office Chair"/>
        <s v="Smartphone"/>
      </sharedItems>
    </cacheField>
    <cacheField name="[Measures].[Sum of Quantity]" caption="Sum of Quantity" numFmtId="0" hierarchy="38" level="32767"/>
    <cacheField name="[Table1].[Customer_Name].[Customer_Name]" caption="Customer_Name" numFmtId="0" hierarchy="2" level="1">
      <sharedItems containsSemiMixedTypes="0" containsNonDate="0" containsString="0"/>
    </cacheField>
    <cacheField name="[tanish].[Customer_Name].[Customer_Name]" caption="Customer_Name" numFmtId="0" hierarchy="18" level="1">
      <sharedItems containsSemiMixedTypes="0" containsNonDate="0" containsString="0"/>
    </cacheField>
  </cacheFields>
  <cacheHierarchies count="39">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2"/>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 Month]" caption="Year - Month" attribute="1" defaultMemberUniqueName="[Table1].[Year - Month].[All]" allUniqueName="[Table1].[Year - Month].[All]" dimensionUniqueName="[Table1]" displayFolder="" count="0" memberValueDatatype="130" unbalanced="0"/>
    <cacheHierarchy uniqueName="[tanish].[Date]" caption="Date" attribute="1" time="1" defaultMemberUniqueName="[tanish].[Date].[All]" allUniqueName="[tanish].[Date].[All]" dimensionUniqueName="[tanish]" displayFolder="" count="0" memberValueDatatype="7" unbalanced="0"/>
    <cacheHierarchy uniqueName="[tanish].[Customer_ID]" caption="Customer_ID" attribute="1" defaultMemberUniqueName="[tanish].[Customer_ID].[All]" allUniqueName="[tanish].[Customer_ID].[All]" dimensionUniqueName="[tanish]" displayFolder="" count="0" memberValueDatatype="130" unbalanced="0"/>
    <cacheHierarchy uniqueName="[tanish].[Customer_Name]" caption="Customer_Name" attribute="1" defaultMemberUniqueName="[tanish].[Customer_Name].[All]" allUniqueName="[tanish].[Customer_Name].[All]" dimensionUniqueName="[tanish]" displayFolder="" count="2" memberValueDatatype="130" unbalanced="0">
      <fieldsUsage count="2">
        <fieldUsage x="-1"/>
        <fieldUsage x="3"/>
      </fieldsUsage>
    </cacheHierarchy>
    <cacheHierarchy uniqueName="[tanish].[Product_ID]" caption="Product_ID" attribute="1" defaultMemberUniqueName="[tanish].[Product_ID].[All]" allUniqueName="[tanish].[Product_ID].[All]" dimensionUniqueName="[tanish]" displayFolder="" count="0" memberValueDatatype="130" unbalanced="0"/>
    <cacheHierarchy uniqueName="[tanish].[Product_Name]" caption="Product_Name" attribute="1" defaultMemberUniqueName="[tanish].[Product_Name].[All]" allUniqueName="[tanish].[Product_Name].[All]" dimensionUniqueName="[tanish]" displayFolder="" count="2" memberValueDatatype="130" unbalanced="0">
      <fieldsUsage count="2">
        <fieldUsage x="-1"/>
        <fieldUsage x="0"/>
      </fieldsUsage>
    </cacheHierarchy>
    <cacheHierarchy uniqueName="[tanish].[Category]" caption="Category" attribute="1" defaultMemberUniqueName="[tanish].[Category].[All]" allUniqueName="[tanish].[Category].[All]" dimensionUniqueName="[tanish]" displayFolder="" count="0" memberValueDatatype="130" unbalanced="0"/>
    <cacheHierarchy uniqueName="[tanish].[Quantity]" caption="Quantity" attribute="1" defaultMemberUniqueName="[tanish].[Quantity].[All]" allUniqueName="[tanish].[Quantity].[All]" dimensionUniqueName="[tanish]" displayFolder="" count="0" memberValueDatatype="20" unbalanced="0"/>
    <cacheHierarchy uniqueName="[tanish].[Unit_Price]" caption="Unit_Price" attribute="1" defaultMemberUniqueName="[tanish].[Unit_Price].[All]" allUniqueName="[tanish].[Unit_Price].[All]" dimensionUniqueName="[tanish]" displayFolder="" count="0" memberValueDatatype="5" unbalanced="0"/>
    <cacheHierarchy uniqueName="[tanish].[Payment_Method]" caption="Payment_Method" attribute="1" defaultMemberUniqueName="[tanish].[Payment_Method].[All]" allUniqueName="[tanish].[Payment_Method].[All]" dimensionUniqueName="[tanish]" displayFolder="" count="0" memberValueDatatype="130" unbalanced="0"/>
    <cacheHierarchy uniqueName="[tanish].[Region]" caption="Region" attribute="1" defaultMemberUniqueName="[tanish].[Region].[All]" allUniqueName="[tanish].[Region].[All]" dimensionUniqueName="[tanish]" displayFolder="" count="0" memberValueDatatype="130" unbalanced="0"/>
    <cacheHierarchy uniqueName="[tanish].[Customer_Segment]" caption="Customer_Segment" attribute="1" defaultMemberUniqueName="[tanish].[Customer_Segment].[All]" allUniqueName="[tanish].[Customer_Segment].[All]" dimensionUniqueName="[tanish]" displayFolder="" count="0" memberValueDatatype="130" unbalanced="0"/>
    <cacheHierarchy uniqueName="[tanish].[Customer_Since]" caption="Customer_Since" attribute="1" time="1" defaultMemberUniqueName="[tanish].[Customer_Since].[All]" allUniqueName="[tanish].[Customer_Since].[All]" dimensionUniqueName="[tanish]" displayFolder="" count="0" memberValueDatatype="7" unbalanced="0"/>
    <cacheHierarchy uniqueName="[tanish].[Total_Amount]" caption="Total_Amount" attribute="1" defaultMemberUniqueName="[tanish].[Total_Amount].[All]" allUniqueName="[tanish].[Total_Amount].[All]" dimensionUniqueName="[tanish]" displayFolder="" count="0" memberValueDatatype="5" unbalanced="0"/>
    <cacheHierarchy uniqueName="[tanish].[Year]" caption="Year" attribute="1" defaultMemberUniqueName="[tanish].[Year].[All]" allUniqueName="[tanish].[Year].[All]" dimensionUniqueName="[tanish]" displayFolder="" count="0" memberValueDatatype="20" unbalanced="0"/>
    <cacheHierarchy uniqueName="[tanish].[Month]" caption="Month" attribute="1" defaultMemberUniqueName="[tanish].[Month].[All]" allUniqueName="[tanish].[Month].[All]" dimensionUniqueName="[tanish]" displayFolder="" count="0" memberValueDatatype="20" unbalanced="0"/>
    <cacheHierarchy uniqueName="[tanish].[Year - Month]" caption="Year - Month" attribute="1" defaultMemberUniqueName="[tanish].[Year - Month].[All]" allUniqueName="[tanish].[Year - Month].[All]" dimensionUniqueName="[tanish]" displayFolder="" count="0" memberValueDatatype="130" unbalanced="0"/>
    <cacheHierarchy uniqueName="[Measures].[__XL_Count tanish]" caption="__XL_Count tanish" measure="1" displayFolder="" measureGroup="tanish"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nish" count="0" hidden="1">
      <extLst>
        <ext xmlns:x15="http://schemas.microsoft.com/office/spreadsheetml/2010/11/main" uri="{B97F6D7D-B522-45F9-BDA1-12C45D357490}">
          <x15:cacheHierarchy aggregatedColumn="28"/>
        </ext>
      </extLst>
    </cacheHierarchy>
    <cacheHierarchy uniqueName="[Measures].[Sum of Unit_Price]" caption="Sum of Unit_Price" measure="1" displayFolder="" measureGroup="tanish" count="0" hidden="1">
      <extLst>
        <ext xmlns:x15="http://schemas.microsoft.com/office/spreadsheetml/2010/11/main" uri="{B97F6D7D-B522-45F9-BDA1-12C45D357490}">
          <x15:cacheHierarchy aggregatedColumn="23"/>
        </ext>
      </extLst>
    </cacheHierarchy>
    <cacheHierarchy uniqueName="[Measures].[Count of Customer_Name]" caption="Count of Customer_Name" measure="1" displayFolder="" measureGroup="tanish"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nish"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Table1" uniqueName="[Table1]" caption="Table1"/>
    <dimension name="tanish" uniqueName="[tanish]" caption="tanish"/>
  </dimensions>
  <measureGroups count="2">
    <measureGroup name="Table1" caption="Table1"/>
    <measureGroup name="tanish" caption="tanish"/>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29392361114" backgroundQuery="1" createdVersion="8" refreshedVersion="8" minRefreshableVersion="3" recordCount="0" supportSubquery="1" supportAdvancedDrill="1" xr:uid="{6A16E8B5-ED9D-46D0-A5E0-6A060F523B8B}">
  <cacheSource type="external" connectionId="1"/>
  <cacheFields count="3">
    <cacheField name="[tanish].[Region].[Region]" caption="Region" numFmtId="0" hierarchy="25" level="1">
      <sharedItems count="5">
        <s v="Central"/>
        <s v="East"/>
        <s v="North"/>
        <s v="South"/>
        <s v="West"/>
      </sharedItems>
    </cacheField>
    <cacheField name="[Measures].[Count of Customer_Name]" caption="Count of Customer_Name" numFmtId="0" hierarchy="37" level="32767"/>
    <cacheField name="[tanish].[Customer_Name].[Customer_Name]" caption="Customer_Name" numFmtId="0" hierarchy="18" level="1">
      <sharedItems containsSemiMixedTypes="0" containsNonDate="0" containsString="0"/>
    </cacheField>
  </cacheFields>
  <cacheHierarchies count="39">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 Month]" caption="Year - Month" attribute="1" defaultMemberUniqueName="[Table1].[Year - Month].[All]" allUniqueName="[Table1].[Year - Month].[All]" dimensionUniqueName="[Table1]" displayFolder="" count="0" memberValueDatatype="130" unbalanced="0"/>
    <cacheHierarchy uniqueName="[tanish].[Date]" caption="Date" attribute="1" time="1" defaultMemberUniqueName="[tanish].[Date].[All]" allUniqueName="[tanish].[Date].[All]" dimensionUniqueName="[tanish]" displayFolder="" count="0" memberValueDatatype="7" unbalanced="0"/>
    <cacheHierarchy uniqueName="[tanish].[Customer_ID]" caption="Customer_ID" attribute="1" defaultMemberUniqueName="[tanish].[Customer_ID].[All]" allUniqueName="[tanish].[Customer_ID].[All]" dimensionUniqueName="[tanish]" displayFolder="" count="0" memberValueDatatype="130" unbalanced="0"/>
    <cacheHierarchy uniqueName="[tanish].[Customer_Name]" caption="Customer_Name" attribute="1" defaultMemberUniqueName="[tanish].[Customer_Name].[All]" allUniqueName="[tanish].[Customer_Name].[All]" dimensionUniqueName="[tanish]" displayFolder="" count="2" memberValueDatatype="130" unbalanced="0">
      <fieldsUsage count="2">
        <fieldUsage x="-1"/>
        <fieldUsage x="2"/>
      </fieldsUsage>
    </cacheHierarchy>
    <cacheHierarchy uniqueName="[tanish].[Product_ID]" caption="Product_ID" attribute="1" defaultMemberUniqueName="[tanish].[Product_ID].[All]" allUniqueName="[tanish].[Product_ID].[All]" dimensionUniqueName="[tanish]" displayFolder="" count="0" memberValueDatatype="130" unbalanced="0"/>
    <cacheHierarchy uniqueName="[tanish].[Product_Name]" caption="Product_Name" attribute="1" defaultMemberUniqueName="[tanish].[Product_Name].[All]" allUniqueName="[tanish].[Product_Name].[All]" dimensionUniqueName="[tanish]" displayFolder="" count="0" memberValueDatatype="130" unbalanced="0"/>
    <cacheHierarchy uniqueName="[tanish].[Category]" caption="Category" attribute="1" defaultMemberUniqueName="[tanish].[Category].[All]" allUniqueName="[tanish].[Category].[All]" dimensionUniqueName="[tanish]" displayFolder="" count="0" memberValueDatatype="130" unbalanced="0"/>
    <cacheHierarchy uniqueName="[tanish].[Quantity]" caption="Quantity" attribute="1" defaultMemberUniqueName="[tanish].[Quantity].[All]" allUniqueName="[tanish].[Quantity].[All]" dimensionUniqueName="[tanish]" displayFolder="" count="0" memberValueDatatype="20" unbalanced="0"/>
    <cacheHierarchy uniqueName="[tanish].[Unit_Price]" caption="Unit_Price" attribute="1" defaultMemberUniqueName="[tanish].[Unit_Price].[All]" allUniqueName="[tanish].[Unit_Price].[All]" dimensionUniqueName="[tanish]" displayFolder="" count="0" memberValueDatatype="5" unbalanced="0"/>
    <cacheHierarchy uniqueName="[tanish].[Payment_Method]" caption="Payment_Method" attribute="1" defaultMemberUniqueName="[tanish].[Payment_Method].[All]" allUniqueName="[tanish].[Payment_Method].[All]" dimensionUniqueName="[tanish]" displayFolder="" count="0" memberValueDatatype="130" unbalanced="0"/>
    <cacheHierarchy uniqueName="[tanish].[Region]" caption="Region" attribute="1" defaultMemberUniqueName="[tanish].[Region].[All]" allUniqueName="[tanish].[Region].[All]" dimensionUniqueName="[tanish]" displayFolder="" count="2" memberValueDatatype="130" unbalanced="0">
      <fieldsUsage count="2">
        <fieldUsage x="-1"/>
        <fieldUsage x="0"/>
      </fieldsUsage>
    </cacheHierarchy>
    <cacheHierarchy uniqueName="[tanish].[Customer_Segment]" caption="Customer_Segment" attribute="1" defaultMemberUniqueName="[tanish].[Customer_Segment].[All]" allUniqueName="[tanish].[Customer_Segment].[All]" dimensionUniqueName="[tanish]" displayFolder="" count="0" memberValueDatatype="130" unbalanced="0"/>
    <cacheHierarchy uniqueName="[tanish].[Customer_Since]" caption="Customer_Since" attribute="1" time="1" defaultMemberUniqueName="[tanish].[Customer_Since].[All]" allUniqueName="[tanish].[Customer_Since].[All]" dimensionUniqueName="[tanish]" displayFolder="" count="0" memberValueDatatype="7" unbalanced="0"/>
    <cacheHierarchy uniqueName="[tanish].[Total_Amount]" caption="Total_Amount" attribute="1" defaultMemberUniqueName="[tanish].[Total_Amount].[All]" allUniqueName="[tanish].[Total_Amount].[All]" dimensionUniqueName="[tanish]" displayFolder="" count="0" memberValueDatatype="5" unbalanced="0"/>
    <cacheHierarchy uniqueName="[tanish].[Year]" caption="Year" attribute="1" defaultMemberUniqueName="[tanish].[Year].[All]" allUniqueName="[tanish].[Year].[All]" dimensionUniqueName="[tanish]" displayFolder="" count="0" memberValueDatatype="20" unbalanced="0"/>
    <cacheHierarchy uniqueName="[tanish].[Month]" caption="Month" attribute="1" defaultMemberUniqueName="[tanish].[Month].[All]" allUniqueName="[tanish].[Month].[All]" dimensionUniqueName="[tanish]" displayFolder="" count="0" memberValueDatatype="20" unbalanced="0"/>
    <cacheHierarchy uniqueName="[tanish].[Year - Month]" caption="Year - Month" attribute="1" defaultMemberUniqueName="[tanish].[Year - Month].[All]" allUniqueName="[tanish].[Year - Month].[All]" dimensionUniqueName="[tanish]" displayFolder="" count="0" memberValueDatatype="130" unbalanced="0"/>
    <cacheHierarchy uniqueName="[Measures].[__XL_Count tanish]" caption="__XL_Count tanish" measure="1" displayFolder="" measureGroup="tanish"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nish" count="0" hidden="1">
      <extLst>
        <ext xmlns:x15="http://schemas.microsoft.com/office/spreadsheetml/2010/11/main" uri="{B97F6D7D-B522-45F9-BDA1-12C45D357490}">
          <x15:cacheHierarchy aggregatedColumn="28"/>
        </ext>
      </extLst>
    </cacheHierarchy>
    <cacheHierarchy uniqueName="[Measures].[Sum of Unit_Price]" caption="Sum of Unit_Price" measure="1" displayFolder="" measureGroup="tanish" count="0" hidden="1">
      <extLst>
        <ext xmlns:x15="http://schemas.microsoft.com/office/spreadsheetml/2010/11/main" uri="{B97F6D7D-B522-45F9-BDA1-12C45D357490}">
          <x15:cacheHierarchy aggregatedColumn="23"/>
        </ext>
      </extLst>
    </cacheHierarchy>
    <cacheHierarchy uniqueName="[Measures].[Count of Customer_Name]" caption="Count of Customer_Name" measure="1" displayFolder="" measureGroup="tanish"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nish"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Table1" uniqueName="[Table1]" caption="Table1"/>
    <dimension name="tanish" uniqueName="[tanish]" caption="tanish"/>
  </dimensions>
  <measureGroups count="2">
    <measureGroup name="Table1" caption="Table1"/>
    <measureGroup name="tanish" caption="tanish"/>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29392824076" backgroundQuery="1" createdVersion="8" refreshedVersion="8" minRefreshableVersion="3" recordCount="0" supportSubquery="1" supportAdvancedDrill="1" xr:uid="{78856FD1-4D8A-4E07-B73A-5121E69EA2A5}">
  <cacheSource type="external" connectionId="1"/>
  <cacheFields count="3">
    <cacheField name="[tanish].[Year - Month].[Year - Month]" caption="Year - Month" numFmtId="0" hierarchy="31" level="1">
      <sharedItems count="13">
        <s v="2024-04"/>
        <s v="2024-05"/>
        <s v="2024-06"/>
        <s v="2024-07"/>
        <s v="2024-08"/>
        <s v="2024-09"/>
        <s v="2024-10"/>
        <s v="2024-11"/>
        <s v="2024-12"/>
        <s v="2025-01"/>
        <s v="2025-02"/>
        <s v="2025-03"/>
        <s v="2025-04"/>
      </sharedItems>
    </cacheField>
    <cacheField name="[Measures].[Sum of Total_Amount]" caption="Sum of Total_Amount" numFmtId="0" hierarchy="35" level="32767"/>
    <cacheField name="[tanish].[Customer_Name].[Customer_Name]" caption="Customer_Name" numFmtId="0" hierarchy="18" level="1">
      <sharedItems containsSemiMixedTypes="0" containsNonDate="0" containsString="0"/>
    </cacheField>
  </cacheFields>
  <cacheHierarchies count="39">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 Month]" caption="Year - Month" attribute="1" defaultMemberUniqueName="[Table1].[Year - Month].[All]" allUniqueName="[Table1].[Year - Month].[All]" dimensionUniqueName="[Table1]" displayFolder="" count="0" memberValueDatatype="130" unbalanced="0"/>
    <cacheHierarchy uniqueName="[tanish].[Date]" caption="Date" attribute="1" time="1" defaultMemberUniqueName="[tanish].[Date].[All]" allUniqueName="[tanish].[Date].[All]" dimensionUniqueName="[tanish]" displayFolder="" count="0" memberValueDatatype="7" unbalanced="0"/>
    <cacheHierarchy uniqueName="[tanish].[Customer_ID]" caption="Customer_ID" attribute="1" defaultMemberUniqueName="[tanish].[Customer_ID].[All]" allUniqueName="[tanish].[Customer_ID].[All]" dimensionUniqueName="[tanish]" displayFolder="" count="0" memberValueDatatype="130" unbalanced="0"/>
    <cacheHierarchy uniqueName="[tanish].[Customer_Name]" caption="Customer_Name" attribute="1" defaultMemberUniqueName="[tanish].[Customer_Name].[All]" allUniqueName="[tanish].[Customer_Name].[All]" dimensionUniqueName="[tanish]" displayFolder="" count="2" memberValueDatatype="130" unbalanced="0">
      <fieldsUsage count="2">
        <fieldUsage x="-1"/>
        <fieldUsage x="2"/>
      </fieldsUsage>
    </cacheHierarchy>
    <cacheHierarchy uniqueName="[tanish].[Product_ID]" caption="Product_ID" attribute="1" defaultMemberUniqueName="[tanish].[Product_ID].[All]" allUniqueName="[tanish].[Product_ID].[All]" dimensionUniqueName="[tanish]" displayFolder="" count="0" memberValueDatatype="130" unbalanced="0"/>
    <cacheHierarchy uniqueName="[tanish].[Product_Name]" caption="Product_Name" attribute="1" defaultMemberUniqueName="[tanish].[Product_Name].[All]" allUniqueName="[tanish].[Product_Name].[All]" dimensionUniqueName="[tanish]" displayFolder="" count="0" memberValueDatatype="130" unbalanced="0"/>
    <cacheHierarchy uniqueName="[tanish].[Category]" caption="Category" attribute="1" defaultMemberUniqueName="[tanish].[Category].[All]" allUniqueName="[tanish].[Category].[All]" dimensionUniqueName="[tanish]" displayFolder="" count="0" memberValueDatatype="130" unbalanced="0"/>
    <cacheHierarchy uniqueName="[tanish].[Quantity]" caption="Quantity" attribute="1" defaultMemberUniqueName="[tanish].[Quantity].[All]" allUniqueName="[tanish].[Quantity].[All]" dimensionUniqueName="[tanish]" displayFolder="" count="0" memberValueDatatype="20" unbalanced="0"/>
    <cacheHierarchy uniqueName="[tanish].[Unit_Price]" caption="Unit_Price" attribute="1" defaultMemberUniqueName="[tanish].[Unit_Price].[All]" allUniqueName="[tanish].[Unit_Price].[All]" dimensionUniqueName="[tanish]" displayFolder="" count="0" memberValueDatatype="5" unbalanced="0"/>
    <cacheHierarchy uniqueName="[tanish].[Payment_Method]" caption="Payment_Method" attribute="1" defaultMemberUniqueName="[tanish].[Payment_Method].[All]" allUniqueName="[tanish].[Payment_Method].[All]" dimensionUniqueName="[tanish]" displayFolder="" count="2" memberValueDatatype="130" unbalanced="0"/>
    <cacheHierarchy uniqueName="[tanish].[Region]" caption="Region" attribute="1" defaultMemberUniqueName="[tanish].[Region].[All]" allUniqueName="[tanish].[Region].[All]" dimensionUniqueName="[tanish]" displayFolder="" count="0" memberValueDatatype="130" unbalanced="0"/>
    <cacheHierarchy uniqueName="[tanish].[Customer_Segment]" caption="Customer_Segment" attribute="1" defaultMemberUniqueName="[tanish].[Customer_Segment].[All]" allUniqueName="[tanish].[Customer_Segment].[All]" dimensionUniqueName="[tanish]" displayFolder="" count="0" memberValueDatatype="130" unbalanced="0"/>
    <cacheHierarchy uniqueName="[tanish].[Customer_Since]" caption="Customer_Since" attribute="1" time="1" defaultMemberUniqueName="[tanish].[Customer_Since].[All]" allUniqueName="[tanish].[Customer_Since].[All]" dimensionUniqueName="[tanish]" displayFolder="" count="0" memberValueDatatype="7" unbalanced="0"/>
    <cacheHierarchy uniqueName="[tanish].[Total_Amount]" caption="Total_Amount" attribute="1" defaultMemberUniqueName="[tanish].[Total_Amount].[All]" allUniqueName="[tanish].[Total_Amount].[All]" dimensionUniqueName="[tanish]" displayFolder="" count="0" memberValueDatatype="5" unbalanced="0"/>
    <cacheHierarchy uniqueName="[tanish].[Year]" caption="Year" attribute="1" defaultMemberUniqueName="[tanish].[Year].[All]" allUniqueName="[tanish].[Year].[All]" dimensionUniqueName="[tanish]" displayFolder="" count="0" memberValueDatatype="20" unbalanced="0"/>
    <cacheHierarchy uniqueName="[tanish].[Month]" caption="Month" attribute="1" defaultMemberUniqueName="[tanish].[Month].[All]" allUniqueName="[tanish].[Month].[All]" dimensionUniqueName="[tanish]" displayFolder="" count="0" memberValueDatatype="20" unbalanced="0"/>
    <cacheHierarchy uniqueName="[tanish].[Year - Month]" caption="Year - Month" attribute="1" defaultMemberUniqueName="[tanish].[Year - Month].[All]" allUniqueName="[tanish].[Year - Month].[All]" dimensionUniqueName="[tanish]" displayFolder="" count="2" memberValueDatatype="130" unbalanced="0">
      <fieldsUsage count="2">
        <fieldUsage x="-1"/>
        <fieldUsage x="0"/>
      </fieldsUsage>
    </cacheHierarchy>
    <cacheHierarchy uniqueName="[Measures].[__XL_Count tanish]" caption="__XL_Count tanish" measure="1" displayFolder="" measureGroup="tanish"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nish"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Unit_Price]" caption="Sum of Unit_Price" measure="1" displayFolder="" measureGroup="tanish" count="0" hidden="1">
      <extLst>
        <ext xmlns:x15="http://schemas.microsoft.com/office/spreadsheetml/2010/11/main" uri="{B97F6D7D-B522-45F9-BDA1-12C45D357490}">
          <x15:cacheHierarchy aggregatedColumn="23"/>
        </ext>
      </extLst>
    </cacheHierarchy>
    <cacheHierarchy uniqueName="[Measures].[Count of Customer_Name]" caption="Count of Customer_Name" measure="1" displayFolder="" measureGroup="tanish"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nish"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Table1" uniqueName="[Table1]" caption="Table1"/>
    <dimension name="tanish" uniqueName="[tanish]" caption="tanish"/>
  </dimensions>
  <measureGroups count="2">
    <measureGroup name="Table1" caption="Table1"/>
    <measureGroup name="tanish" caption="tanish"/>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29393171299" backgroundQuery="1" createdVersion="8" refreshedVersion="8" minRefreshableVersion="3" recordCount="0" supportSubquery="1" supportAdvancedDrill="1" xr:uid="{8E3FA07B-9ECF-4D57-8B8B-1181DBEDA1E1}">
  <cacheSource type="external" connectionId="1"/>
  <cacheFields count="3">
    <cacheField name="[tanish].[Product_Name].[Product_Name]" caption="Product_Name" numFmtId="0" hierarchy="20" level="1">
      <sharedItems count="10">
        <s v="Blender"/>
        <s v="Bookshelf"/>
        <s v="Coffee Maker"/>
        <s v="Desk"/>
        <s v="Headphones"/>
        <s v="Keyboard"/>
        <s v="Laptop"/>
        <s v="Monitor"/>
        <s v="Office Chair"/>
        <s v="Smartphone"/>
      </sharedItems>
    </cacheField>
    <cacheField name="[Measures].[Sum of Total_Amount]" caption="Sum of Total_Amount" numFmtId="0" hierarchy="35" level="32767"/>
    <cacheField name="[tanish].[Customer_Name].[Customer_Name]" caption="Customer_Name" numFmtId="0" hierarchy="18" level="1">
      <sharedItems containsSemiMixedTypes="0" containsNonDate="0" containsString="0"/>
    </cacheField>
  </cacheFields>
  <cacheHierarchies count="39">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 Month]" caption="Year - Month" attribute="1" defaultMemberUniqueName="[Table1].[Year - Month].[All]" allUniqueName="[Table1].[Year - Month].[All]" dimensionUniqueName="[Table1]" displayFolder="" count="0" memberValueDatatype="130" unbalanced="0"/>
    <cacheHierarchy uniqueName="[tanish].[Date]" caption="Date" attribute="1" time="1" defaultMemberUniqueName="[tanish].[Date].[All]" allUniqueName="[tanish].[Date].[All]" dimensionUniqueName="[tanish]" displayFolder="" count="0" memberValueDatatype="7" unbalanced="0"/>
    <cacheHierarchy uniqueName="[tanish].[Customer_ID]" caption="Customer_ID" attribute="1" defaultMemberUniqueName="[tanish].[Customer_ID].[All]" allUniqueName="[tanish].[Customer_ID].[All]" dimensionUniqueName="[tanish]" displayFolder="" count="0" memberValueDatatype="130" unbalanced="0"/>
    <cacheHierarchy uniqueName="[tanish].[Customer_Name]" caption="Customer_Name" attribute="1" defaultMemberUniqueName="[tanish].[Customer_Name].[All]" allUniqueName="[tanish].[Customer_Name].[All]" dimensionUniqueName="[tanish]" displayFolder="" count="2" memberValueDatatype="130" unbalanced="0">
      <fieldsUsage count="2">
        <fieldUsage x="-1"/>
        <fieldUsage x="2"/>
      </fieldsUsage>
    </cacheHierarchy>
    <cacheHierarchy uniqueName="[tanish].[Product_ID]" caption="Product_ID" attribute="1" defaultMemberUniqueName="[tanish].[Product_ID].[All]" allUniqueName="[tanish].[Product_ID].[All]" dimensionUniqueName="[tanish]" displayFolder="" count="0" memberValueDatatype="130" unbalanced="0"/>
    <cacheHierarchy uniqueName="[tanish].[Product_Name]" caption="Product_Name" attribute="1" defaultMemberUniqueName="[tanish].[Product_Name].[All]" allUniqueName="[tanish].[Product_Name].[All]" dimensionUniqueName="[tanish]" displayFolder="" count="2" memberValueDatatype="130" unbalanced="0">
      <fieldsUsage count="2">
        <fieldUsage x="-1"/>
        <fieldUsage x="0"/>
      </fieldsUsage>
    </cacheHierarchy>
    <cacheHierarchy uniqueName="[tanish].[Category]" caption="Category" attribute="1" defaultMemberUniqueName="[tanish].[Category].[All]" allUniqueName="[tanish].[Category].[All]" dimensionUniqueName="[tanish]" displayFolder="" count="0" memberValueDatatype="130" unbalanced="0"/>
    <cacheHierarchy uniqueName="[tanish].[Quantity]" caption="Quantity" attribute="1" defaultMemberUniqueName="[tanish].[Quantity].[All]" allUniqueName="[tanish].[Quantity].[All]" dimensionUniqueName="[tanish]" displayFolder="" count="0" memberValueDatatype="20" unbalanced="0"/>
    <cacheHierarchy uniqueName="[tanish].[Unit_Price]" caption="Unit_Price" attribute="1" defaultMemberUniqueName="[tanish].[Unit_Price].[All]" allUniqueName="[tanish].[Unit_Price].[All]" dimensionUniqueName="[tanish]" displayFolder="" count="0" memberValueDatatype="5" unbalanced="0"/>
    <cacheHierarchy uniqueName="[tanish].[Payment_Method]" caption="Payment_Method" attribute="1" defaultMemberUniqueName="[tanish].[Payment_Method].[All]" allUniqueName="[tanish].[Payment_Method].[All]" dimensionUniqueName="[tanish]" displayFolder="" count="2" memberValueDatatype="130" unbalanced="0"/>
    <cacheHierarchy uniqueName="[tanish].[Region]" caption="Region" attribute="1" defaultMemberUniqueName="[tanish].[Region].[All]" allUniqueName="[tanish].[Region].[All]" dimensionUniqueName="[tanish]" displayFolder="" count="0" memberValueDatatype="130" unbalanced="0"/>
    <cacheHierarchy uniqueName="[tanish].[Customer_Segment]" caption="Customer_Segment" attribute="1" defaultMemberUniqueName="[tanish].[Customer_Segment].[All]" allUniqueName="[tanish].[Customer_Segment].[All]" dimensionUniqueName="[tanish]" displayFolder="" count="0" memberValueDatatype="130" unbalanced="0"/>
    <cacheHierarchy uniqueName="[tanish].[Customer_Since]" caption="Customer_Since" attribute="1" time="1" defaultMemberUniqueName="[tanish].[Customer_Since].[All]" allUniqueName="[tanish].[Customer_Since].[All]" dimensionUniqueName="[tanish]" displayFolder="" count="0" memberValueDatatype="7" unbalanced="0"/>
    <cacheHierarchy uniqueName="[tanish].[Total_Amount]" caption="Total_Amount" attribute="1" defaultMemberUniqueName="[tanish].[Total_Amount].[All]" allUniqueName="[tanish].[Total_Amount].[All]" dimensionUniqueName="[tanish]" displayFolder="" count="0" memberValueDatatype="5" unbalanced="0"/>
    <cacheHierarchy uniqueName="[tanish].[Year]" caption="Year" attribute="1" defaultMemberUniqueName="[tanish].[Year].[All]" allUniqueName="[tanish].[Year].[All]" dimensionUniqueName="[tanish]" displayFolder="" count="0" memberValueDatatype="20" unbalanced="0"/>
    <cacheHierarchy uniqueName="[tanish].[Month]" caption="Month" attribute="1" defaultMemberUniqueName="[tanish].[Month].[All]" allUniqueName="[tanish].[Month].[All]" dimensionUniqueName="[tanish]" displayFolder="" count="0" memberValueDatatype="20" unbalanced="0"/>
    <cacheHierarchy uniqueName="[tanish].[Year - Month]" caption="Year - Month" attribute="1" defaultMemberUniqueName="[tanish].[Year - Month].[All]" allUniqueName="[tanish].[Year - Month].[All]" dimensionUniqueName="[tanish]" displayFolder="" count="0" memberValueDatatype="130" unbalanced="0"/>
    <cacheHierarchy uniqueName="[Measures].[__XL_Count tanish]" caption="__XL_Count tanish" measure="1" displayFolder="" measureGroup="tanish"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nish"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Unit_Price]" caption="Sum of Unit_Price" measure="1" displayFolder="" measureGroup="tanish" count="0" hidden="1">
      <extLst>
        <ext xmlns:x15="http://schemas.microsoft.com/office/spreadsheetml/2010/11/main" uri="{B97F6D7D-B522-45F9-BDA1-12C45D357490}">
          <x15:cacheHierarchy aggregatedColumn="23"/>
        </ext>
      </extLst>
    </cacheHierarchy>
    <cacheHierarchy uniqueName="[Measures].[Count of Customer_Name]" caption="Count of Customer_Name" measure="1" displayFolder="" measureGroup="tanish"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nish"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Table1" uniqueName="[Table1]" caption="Table1"/>
    <dimension name="tanish" uniqueName="[tanish]" caption="tanish"/>
  </dimensions>
  <measureGroups count="2">
    <measureGroup name="Table1" caption="Table1"/>
    <measureGroup name="tanish" caption="tanish"/>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29393518515" backgroundQuery="1" createdVersion="8" refreshedVersion="8" minRefreshableVersion="3" recordCount="0" supportSubquery="1" supportAdvancedDrill="1" xr:uid="{E46EC197-CE46-4921-BD5F-39C8BBCC3D4A}">
  <cacheSource type="external" connectionId="1"/>
  <cacheFields count="2">
    <cacheField name="[tanish].[Customer_Name].[Customer_Name]" caption="Customer_Name" numFmtId="0" hierarchy="18" level="1">
      <sharedItems count="50">
        <s v="Arthur Edwards"/>
        <s v="Barbara Young"/>
        <s v="Betty Campbell"/>
        <s v="Carol Evans"/>
        <s v="Charles Allen"/>
        <s v="Cynthia Price"/>
        <s v="Daniel King"/>
        <s v="David Martinez"/>
        <s v="Dennis Gray"/>
        <s v="Dorothy Nelson"/>
        <s v="Douglas Watson"/>
        <s v="Edward Mitchell"/>
        <s v="Elizabeth Hall"/>
        <s v="Emma Wilson"/>
        <s v="Frank Torres"/>
        <s v="George Adams"/>
        <s v="Gerald Murphy"/>
        <s v="Harry Morgan"/>
        <s v="Helen Roberts"/>
        <s v="James Johnson"/>
        <s v="Jennifer Taylor"/>
        <s v="John Smith"/>
        <s v="Joseph Jackson"/>
        <s v="Julie Foster"/>
        <s v="Karen Hill"/>
        <s v="Kathleen Bennett"/>
        <s v="Kevin Scott"/>
        <s v="Lawrence Reed"/>
        <s v="Linda Martin"/>
        <s v="Lisa Anderson"/>
        <s v="Margaret Wright"/>
        <s v="Maria Garcia"/>
        <s v="Mark Carter"/>
        <s v="Michael Brown"/>
        <s v="Michelle Rogers"/>
        <s v="Nancy Collins"/>
        <s v="Patricia Moore"/>
        <s v="Paul Baker"/>
        <s v="Peter Richardson"/>
        <s v="Raymond Ross"/>
        <s v="Richard Lee"/>
        <s v="Robert Thomas"/>
        <s v="Ruth Brooks"/>
        <s v="Sandra Phillips"/>
        <s v="Sarah Davis"/>
        <s v="Sharon Butler"/>
        <s v="Steven Turner"/>
        <s v="Susan Green"/>
        <s v="Virginia Sanders"/>
        <s v="William White"/>
      </sharedItems>
    </cacheField>
    <cacheField name="[Measures].[Sum of Total_Amount]" caption="Sum of Total_Amount" numFmtId="0" hierarchy="35" level="32767"/>
  </cacheFields>
  <cacheHierarchies count="39">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 Month]" caption="Year - Month" attribute="1" defaultMemberUniqueName="[Table1].[Year - Month].[All]" allUniqueName="[Table1].[Year - Month].[All]" dimensionUniqueName="[Table1]" displayFolder="" count="0" memberValueDatatype="130" unbalanced="0"/>
    <cacheHierarchy uniqueName="[tanish].[Date]" caption="Date" attribute="1" time="1" defaultMemberUniqueName="[tanish].[Date].[All]" allUniqueName="[tanish].[Date].[All]" dimensionUniqueName="[tanish]" displayFolder="" count="0" memberValueDatatype="7" unbalanced="0"/>
    <cacheHierarchy uniqueName="[tanish].[Customer_ID]" caption="Customer_ID" attribute="1" defaultMemberUniqueName="[tanish].[Customer_ID].[All]" allUniqueName="[tanish].[Customer_ID].[All]" dimensionUniqueName="[tanish]" displayFolder="" count="0" memberValueDatatype="130" unbalanced="0"/>
    <cacheHierarchy uniqueName="[tanish].[Customer_Name]" caption="Customer_Name" attribute="1" defaultMemberUniqueName="[tanish].[Customer_Name].[All]" allUniqueName="[tanish].[Customer_Name].[All]" dimensionUniqueName="[tanish]" displayFolder="" count="2" memberValueDatatype="130" unbalanced="0">
      <fieldsUsage count="2">
        <fieldUsage x="-1"/>
        <fieldUsage x="0"/>
      </fieldsUsage>
    </cacheHierarchy>
    <cacheHierarchy uniqueName="[tanish].[Product_ID]" caption="Product_ID" attribute="1" defaultMemberUniqueName="[tanish].[Product_ID].[All]" allUniqueName="[tanish].[Product_ID].[All]" dimensionUniqueName="[tanish]" displayFolder="" count="0" memberValueDatatype="130" unbalanced="0"/>
    <cacheHierarchy uniqueName="[tanish].[Product_Name]" caption="Product_Name" attribute="1" defaultMemberUniqueName="[tanish].[Product_Name].[All]" allUniqueName="[tanish].[Product_Name].[All]" dimensionUniqueName="[tanish]" displayFolder="" count="0" memberValueDatatype="130" unbalanced="0"/>
    <cacheHierarchy uniqueName="[tanish].[Category]" caption="Category" attribute="1" defaultMemberUniqueName="[tanish].[Category].[All]" allUniqueName="[tanish].[Category].[All]" dimensionUniqueName="[tanish]" displayFolder="" count="0" memberValueDatatype="130" unbalanced="0"/>
    <cacheHierarchy uniqueName="[tanish].[Quantity]" caption="Quantity" attribute="1" defaultMemberUniqueName="[tanish].[Quantity].[All]" allUniqueName="[tanish].[Quantity].[All]" dimensionUniqueName="[tanish]" displayFolder="" count="0" memberValueDatatype="20" unbalanced="0"/>
    <cacheHierarchy uniqueName="[tanish].[Unit_Price]" caption="Unit_Price" attribute="1" defaultMemberUniqueName="[tanish].[Unit_Price].[All]" allUniqueName="[tanish].[Unit_Price].[All]" dimensionUniqueName="[tanish]" displayFolder="" count="0" memberValueDatatype="5" unbalanced="0"/>
    <cacheHierarchy uniqueName="[tanish].[Payment_Method]" caption="Payment_Method" attribute="1" defaultMemberUniqueName="[tanish].[Payment_Method].[All]" allUniqueName="[tanish].[Payment_Method].[All]" dimensionUniqueName="[tanish]" displayFolder="" count="0" memberValueDatatype="130" unbalanced="0"/>
    <cacheHierarchy uniqueName="[tanish].[Region]" caption="Region" attribute="1" defaultMemberUniqueName="[tanish].[Region].[All]" allUniqueName="[tanish].[Region].[All]" dimensionUniqueName="[tanish]" displayFolder="" count="0" memberValueDatatype="130" unbalanced="0"/>
    <cacheHierarchy uniqueName="[tanish].[Customer_Segment]" caption="Customer_Segment" attribute="1" defaultMemberUniqueName="[tanish].[Customer_Segment].[All]" allUniqueName="[tanish].[Customer_Segment].[All]" dimensionUniqueName="[tanish]" displayFolder="" count="0" memberValueDatatype="130" unbalanced="0"/>
    <cacheHierarchy uniqueName="[tanish].[Customer_Since]" caption="Customer_Since" attribute="1" time="1" defaultMemberUniqueName="[tanish].[Customer_Since].[All]" allUniqueName="[tanish].[Customer_Since].[All]" dimensionUniqueName="[tanish]" displayFolder="" count="0" memberValueDatatype="7" unbalanced="0"/>
    <cacheHierarchy uniqueName="[tanish].[Total_Amount]" caption="Total_Amount" attribute="1" defaultMemberUniqueName="[tanish].[Total_Amount].[All]" allUniqueName="[tanish].[Total_Amount].[All]" dimensionUniqueName="[tanish]" displayFolder="" count="0" memberValueDatatype="5" unbalanced="0"/>
    <cacheHierarchy uniqueName="[tanish].[Year]" caption="Year" attribute="1" defaultMemberUniqueName="[tanish].[Year].[All]" allUniqueName="[tanish].[Year].[All]" dimensionUniqueName="[tanish]" displayFolder="" count="0" memberValueDatatype="20" unbalanced="0"/>
    <cacheHierarchy uniqueName="[tanish].[Month]" caption="Month" attribute="1" defaultMemberUniqueName="[tanish].[Month].[All]" allUniqueName="[tanish].[Month].[All]" dimensionUniqueName="[tanish]" displayFolder="" count="0" memberValueDatatype="20" unbalanced="0"/>
    <cacheHierarchy uniqueName="[tanish].[Year - Month]" caption="Year - Month" attribute="1" defaultMemberUniqueName="[tanish].[Year - Month].[All]" allUniqueName="[tanish].[Year - Month].[All]" dimensionUniqueName="[tanish]" displayFolder="" count="0" memberValueDatatype="130" unbalanced="0"/>
    <cacheHierarchy uniqueName="[Measures].[__XL_Count tanish]" caption="__XL_Count tanish" measure="1" displayFolder="" measureGroup="tanish"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nish"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Unit_Price]" caption="Sum of Unit_Price" measure="1" displayFolder="" measureGroup="tanish" count="0" hidden="1">
      <extLst>
        <ext xmlns:x15="http://schemas.microsoft.com/office/spreadsheetml/2010/11/main" uri="{B97F6D7D-B522-45F9-BDA1-12C45D357490}">
          <x15:cacheHierarchy aggregatedColumn="23"/>
        </ext>
      </extLst>
    </cacheHierarchy>
    <cacheHierarchy uniqueName="[Measures].[Count of Customer_Name]" caption="Count of Customer_Name" measure="1" displayFolder="" measureGroup="tanish"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nish"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Table1" uniqueName="[Table1]" caption="Table1"/>
    <dimension name="tanish" uniqueName="[tanish]" caption="tanish"/>
  </dimensions>
  <measureGroups count="2">
    <measureGroup name="Table1" caption="Table1"/>
    <measureGroup name="tanish" caption="tanish"/>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5971.958549768518" backgroundQuery="1" createdVersion="3" refreshedVersion="8" minRefreshableVersion="3" recordCount="0" supportSubquery="1" supportAdvancedDrill="1" xr:uid="{3E120922-4F9C-40C6-959F-CDD6FC3E386D}">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Measures]" caption="Measures" attribute="1" keyAttribute="1" defaultMemberUniqueName="[Measures].[__No measures defined]" dimensionUniqueName="[Measures]" displayFolder="" measures="1" count="1"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Customer_Since]" caption="Customer_Since" attribute="1" time="1" defaultMemberUniqueName="[Table1].[Customer_Since].[All]" allUniqueName="[Table1].[Customer_Since].[All]" dimensionUniqueName="[Table1]" displayFolder="" count="2" memberValueDatatype="7" unbalanced="0"/>
    <cacheHierarchy uniqueName="[Table1].[Total_Amount]" caption="Total_Amount" attribute="1" defaultMemberUniqueName="[Table1].[Total_Amount].[All]" allUniqueName="[Table1].[Total_Amount].[All]" dimensionUniqueName="[Table1]" displayFolder="" count="2"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20" unbalanced="0"/>
    <cacheHierarchy uniqueName="[Table1].[Year - Month]" caption="Year - Month" attribute="1" defaultMemberUniqueName="[Table1].[Year - Month].[All]" allUniqueName="[Table1].[Year - Month].[All]" dimensionUniqueName="[Table1]" displayFolder="" count="2" memberValueDatatype="130" unbalanced="0"/>
    <cacheHierarchy uniqueName="[tanish].[Date]" caption="Date" attribute="1" time="1" defaultMemberUniqueName="[tanish].[Date].[All]" allUniqueName="[tanish].[Date].[All]" dimensionUniqueName="[tanish]" displayFolder="" count="2" memberValueDatatype="7" unbalanced="0"/>
    <cacheHierarchy uniqueName="[tanish].[Customer_ID]" caption="Customer_ID" attribute="1" defaultMemberUniqueName="[tanish].[Customer_ID].[All]" allUniqueName="[tanish].[Customer_ID].[All]" dimensionUniqueName="[tanish]" displayFolder="" count="2" memberValueDatatype="130" unbalanced="0"/>
    <cacheHierarchy uniqueName="[tanish].[Customer_Name]" caption="Customer_Name" attribute="1" defaultMemberUniqueName="[tanish].[Customer_Name].[All]" allUniqueName="[tanish].[Customer_Name].[All]" dimensionUniqueName="[tanish]" displayFolder="" count="2" memberValueDatatype="130" unbalanced="0"/>
    <cacheHierarchy uniqueName="[tanish].[Product_ID]" caption="Product_ID" attribute="1" defaultMemberUniqueName="[tanish].[Product_ID].[All]" allUniqueName="[tanish].[Product_ID].[All]" dimensionUniqueName="[tanish]" displayFolder="" count="2" memberValueDatatype="130" unbalanced="0"/>
    <cacheHierarchy uniqueName="[tanish].[Product_Name]" caption="Product_Name" attribute="1" defaultMemberUniqueName="[tanish].[Product_Name].[All]" allUniqueName="[tanish].[Product_Name].[All]" dimensionUniqueName="[tanish]" displayFolder="" count="2" memberValueDatatype="130" unbalanced="0"/>
    <cacheHierarchy uniqueName="[tanish].[Category]" caption="Category" attribute="1" defaultMemberUniqueName="[tanish].[Category].[All]" allUniqueName="[tanish].[Category].[All]" dimensionUniqueName="[tanish]" displayFolder="" count="2" memberValueDatatype="130" unbalanced="0"/>
    <cacheHierarchy uniqueName="[tanish].[Quantity]" caption="Quantity" attribute="1" defaultMemberUniqueName="[tanish].[Quantity].[All]" allUniqueName="[tanish].[Quantity].[All]" dimensionUniqueName="[tanish]" displayFolder="" count="2" memberValueDatatype="20" unbalanced="0"/>
    <cacheHierarchy uniqueName="[tanish].[Unit_Price]" caption="Unit_Price" attribute="1" defaultMemberUniqueName="[tanish].[Unit_Price].[All]" allUniqueName="[tanish].[Unit_Price].[All]" dimensionUniqueName="[tanish]" displayFolder="" count="2" memberValueDatatype="5" unbalanced="0"/>
    <cacheHierarchy uniqueName="[tanish].[Payment_Method]" caption="Payment_Method" attribute="1" defaultMemberUniqueName="[tanish].[Payment_Method].[All]" allUniqueName="[tanish].[Payment_Method].[All]" dimensionUniqueName="[tanish]" displayFolder="" count="2" memberValueDatatype="130" unbalanced="0"/>
    <cacheHierarchy uniqueName="[tanish].[Region]" caption="Region" attribute="1" defaultMemberUniqueName="[tanish].[Region].[All]" allUniqueName="[tanish].[Region].[All]" dimensionUniqueName="[tanish]" displayFolder="" count="2" memberValueDatatype="130" unbalanced="0"/>
    <cacheHierarchy uniqueName="[tanish].[Customer_Segment]" caption="Customer_Segment" attribute="1" defaultMemberUniqueName="[tanish].[Customer_Segment].[All]" allUniqueName="[tanish].[Customer_Segment].[All]" dimensionUniqueName="[tanish]" displayFolder="" count="2" memberValueDatatype="130" unbalanced="0"/>
    <cacheHierarchy uniqueName="[tanish].[Customer_Since]" caption="Customer_Since" attribute="1" time="1" defaultMemberUniqueName="[tanish].[Customer_Since].[All]" allUniqueName="[tanish].[Customer_Since].[All]" dimensionUniqueName="[tanish]" displayFolder="" count="2" memberValueDatatype="7" unbalanced="0"/>
    <cacheHierarchy uniqueName="[tanish].[Total_Amount]" caption="Total_Amount" attribute="1" defaultMemberUniqueName="[tanish].[Total_Amount].[All]" allUniqueName="[tanish].[Total_Amount].[All]" dimensionUniqueName="[tanish]" displayFolder="" count="2" memberValueDatatype="5" unbalanced="0"/>
    <cacheHierarchy uniqueName="[tanish].[Year]" caption="Year" attribute="1" defaultMemberUniqueName="[tanish].[Year].[All]" allUniqueName="[tanish].[Year].[All]" dimensionUniqueName="[tanish]" displayFolder="" count="2" memberValueDatatype="20" unbalanced="0"/>
    <cacheHierarchy uniqueName="[tanish].[Month]" caption="Month" attribute="1" defaultMemberUniqueName="[tanish].[Month].[All]" allUniqueName="[tanish].[Month].[All]" dimensionUniqueName="[tanish]" displayFolder="" count="2" memberValueDatatype="20" unbalanced="0"/>
    <cacheHierarchy uniqueName="[tanish].[Year - Month]" caption="Year - Month" attribute="1" defaultMemberUniqueName="[tanish].[Year - Month].[All]" allUniqueName="[tanish].[Year - Month].[All]" dimensionUniqueName="[tanish]" displayFolder="" count="2" memberValueDatatype="130" unbalanced="0"/>
    <cacheHierarchy uniqueName="[Measures].[__XL_Count tanish]" caption="__XL_Count tanish" measure="1" displayFolder="" measureGroup="tanish"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nish" count="0" hidden="1">
      <extLst>
        <ext xmlns:x15="http://schemas.microsoft.com/office/spreadsheetml/2010/11/main" uri="{B97F6D7D-B522-45F9-BDA1-12C45D357490}">
          <x15:cacheHierarchy aggregatedColumn="29"/>
        </ext>
      </extLst>
    </cacheHierarchy>
    <cacheHierarchy uniqueName="[Measures].[Sum of Unit_Price]" caption="Sum of Unit_Price" measure="1" displayFolder="" measureGroup="tanish" count="0" hidden="1">
      <extLst>
        <ext xmlns:x15="http://schemas.microsoft.com/office/spreadsheetml/2010/11/main" uri="{B97F6D7D-B522-45F9-BDA1-12C45D357490}">
          <x15:cacheHierarchy aggregatedColumn="24"/>
        </ext>
      </extLst>
    </cacheHierarchy>
    <cacheHierarchy uniqueName="[Measures].[Count of Customer_Name]" caption="Count of Customer_Name" measure="1" displayFolder="" measureGroup="tanish"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nish"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nish" uniqueName="[tanish]" caption="tanish"/>
  </dimensions>
  <measureGroups count="2">
    <measureGroup name="Table1" caption="Table1"/>
    <measureGroup name="tanish" caption="tanish"/>
  </measureGroups>
  <maps count="2">
    <map measureGroup="0" dimension="1"/>
    <map measureGroup="1" dimension="2"/>
  </maps>
  <extLst>
    <ext xmlns:x14="http://schemas.microsoft.com/office/spreadsheetml/2009/9/main" uri="{725AE2AE-9491-48be-B2B4-4EB974FC3084}">
      <x14:pivotCacheDefinition slicerData="1" pivotCacheId="12356584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8E9B86-2E49-4655-A9C6-20C96FA01BF0}" name="PivotTable4"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_Name" fld="1"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exam.xlsx!tanish">
        <x15:activeTabTopLevelEntity name="[tanis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BB868C-0224-4F69-BA04-21880ADE5436}" name="PivotTable1"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3">
    <pivotField axis="axisRow" allDrilled="1" subtotalTop="0" showAll="0" sortType="ascending"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Total_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 id="{F51C40D5-3C83-4D1D-B414-E8A65D272DFB}">
            <x14:pivotAreas count="1">
              <pivotArea type="data" collapsedLevelsAreSubtotals="1" fieldPosition="0">
                <references count="2">
                  <reference field="4294967294" count="1" selected="0">
                    <x v="0"/>
                  </reference>
                  <reference field="0" count="13">
                    <x v="0"/>
                    <x v="1"/>
                    <x v="2"/>
                    <x v="3"/>
                    <x v="4"/>
                    <x v="5"/>
                    <x v="6"/>
                    <x v="7"/>
                    <x v="8"/>
                    <x v="9"/>
                    <x v="10"/>
                    <x v="11"/>
                    <x v="12"/>
                  </reference>
                </references>
              </pivotArea>
            </x14:pivotAreas>
          </x14:conditionalFormat>
        </x14:conditionalFormats>
      </x14:pivotTableDefinition>
    </ext>
    <ext xmlns:x15="http://schemas.microsoft.com/office/spreadsheetml/2010/11/main" uri="{E67621CE-5B39-4880-91FE-76760E9C1902}">
      <x15:pivotTableUISettings>
        <x15:activeTabTopLevelEntity name="[tanis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4C5BBE-6236-4D3B-AAE9-1EB5F6BBEBC1}" name="PivotTable3"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_name">
  <location ref="A1:B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_Amount" fld="1"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exam.xlsx!tanish">
        <x15:activeTabTopLevelEntity name="[tanis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12D62A-8BEA-425B-8AAB-031775AB9CF7}" name="PivotTable6"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members count="46" level="1">
        <member name="[Table1].[Customer_Name].&amp;[Arthur Edwards]"/>
        <member name="[Table1].[Customer_Name].&amp;[Barbara Young]"/>
        <member name="[Table1].[Customer_Name].&amp;[Charles Allen]"/>
        <member name="[Table1].[Customer_Name].&amp;[Cynthia Price]"/>
        <member name="[Table1].[Customer_Name].&amp;[Daniel King]"/>
        <member name="[Table1].[Customer_Name].&amp;[David Martinez]"/>
        <member name="[Table1].[Customer_Name].&amp;[Dennis Gray]"/>
        <member name="[Table1].[Customer_Name].&amp;[Douglas Watson]"/>
        <member name="[Table1].[Customer_Name].&amp;[Edward Mitchell]"/>
        <member name="[Table1].[Customer_Name].&amp;[Elizabeth Hall]"/>
        <member name="[Table1].[Customer_Name].&amp;[Emma Wilson]"/>
        <member name="[Table1].[Customer_Name].&amp;[Frank Torres]"/>
        <member name="[Table1].[Customer_Name].&amp;[Gerald Murphy]"/>
        <member name="[Table1].[Customer_Name].&amp;[Harry Morgan]"/>
        <member name="[Table1].[Customer_Name].&amp;[Helen Roberts]"/>
        <member name="[Table1].[Customer_Name].&amp;[James Johnson]"/>
        <member name="[Table1].[Customer_Name].&amp;[Jennifer Taylor]"/>
        <member name="[Table1].[Customer_Name].&amp;[John Smith]"/>
        <member name="[Table1].[Customer_Name].&amp;[Joseph Jackson]"/>
        <member name="[Table1].[Customer_Name].&amp;[Julie Foster]"/>
        <member name="[Table1].[Customer_Name].&amp;[Karen Hill]"/>
        <member name="[Table1].[Customer_Name].&amp;[Kathleen Bennett]"/>
        <member name="[Table1].[Customer_Name].&amp;[Kevin Scott]"/>
        <member name="[Table1].[Customer_Name].&amp;[Lawrence Reed]"/>
        <member name="[Table1].[Customer_Name].&amp;[Linda Martin]"/>
        <member name="[Table1].[Customer_Name].&amp;[Lisa Anderson]"/>
        <member name="[Table1].[Customer_Name].&amp;[Margaret Wright]"/>
        <member name="[Table1].[Customer_Name].&amp;[Maria Garcia]"/>
        <member name="[Table1].[Customer_Name].&amp;[Mark Carter]"/>
        <member name="[Table1].[Customer_Name].&amp;[Michael Brown]"/>
        <member name="[Table1].[Customer_Name].&amp;[Michelle Rogers]"/>
        <member name="[Table1].[Customer_Name].&amp;[Nancy Collins]"/>
        <member name="[Table1].[Customer_Name].&amp;[Patricia Moore]"/>
        <member name="[Table1].[Customer_Name].&amp;[Paul Baker]"/>
        <member name="[Table1].[Customer_Name].&amp;[Peter Richardson]"/>
        <member name="[Table1].[Customer_Name].&amp;[Raymond Ross]"/>
        <member name="[Table1].[Customer_Name].&amp;[Richard Lee]"/>
        <member name="[Table1].[Customer_Name].&amp;[Robert Thomas]"/>
        <member name="[Table1].[Customer_Name].&amp;[Ruth Brooks]"/>
        <member name="[Table1].[Customer_Name].&amp;[Sandra Phillips]"/>
        <member name="[Table1].[Customer_Name].&amp;[Sarah Davis]"/>
        <member name="[Table1].[Customer_Name].&amp;[Sharon Butler]"/>
        <member name="[Table1].[Customer_Name].&amp;[Steven Turner]"/>
        <member name="[Table1].[Customer_Name].&amp;[Susan Green]"/>
        <member name="[Table1].[Customer_Name].&amp;[Virginia Sanders]"/>
        <member name="[Table1].[Customer_Name].&amp;[William Whi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exam.xlsx!tanish">
        <x15:activeTabTopLevelEntity name="[tanis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2CA63C-D73A-49F6-BCFA-EB73E60DA672}" name="PivotTable7"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_name">
  <location ref="A1:B52" firstHeaderRow="1" firstDataRow="1" firstDataCol="1"/>
  <pivotFields count="2">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 baseField="0" baseItem="0"/>
  </dataFields>
  <conditionalFormats count="1">
    <conditionalFormat type="all" priority="1">
      <pivotAreas count="1">
        <pivotArea type="data" collapsedLevelsAreSubtotals="1" fieldPosition="0">
          <references count="2">
            <reference field="4294967294" count="1" selected="0">
              <x v="0"/>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exam.xlsx!tanish">
        <x15:activeTabTopLevelEntity name="[tanish]"/>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C366BC4-F639-4A02-951F-969995209FDC}" sourceName="[tanish].[Customer_Name]">
  <pivotTables>
    <pivotTable tabId="12" name="PivotTable6"/>
    <pivotTable tabId="8" name="PivotTable4"/>
    <pivotTable tabId="4" name="PivotTable1"/>
    <pivotTable tabId="7" name="PivotTable3"/>
    <pivotTable tabId="13" name="PivotTable7"/>
  </pivotTables>
  <data>
    <olap pivotCacheId="1235658404">
      <levels count="2">
        <level uniqueName="[tanish].[Customer_Name].[(All)]" sourceCaption="(All)" count="0"/>
        <level uniqueName="[tanish].[Customer_Name].[Customer_Name]" sourceCaption="Customer_Name" count="50">
          <ranges>
            <range startItem="0">
              <i n="[tanish].[Customer_Name].&amp;[Arthur Edwards]" c="Arthur Edwards"/>
              <i n="[tanish].[Customer_Name].&amp;[Barbara Young]" c="Barbara Young"/>
              <i n="[tanish].[Customer_Name].&amp;[Betty Campbell]" c="Betty Campbell"/>
              <i n="[tanish].[Customer_Name].&amp;[Carol Evans]" c="Carol Evans"/>
              <i n="[tanish].[Customer_Name].&amp;[Charles Allen]" c="Charles Allen"/>
              <i n="[tanish].[Customer_Name].&amp;[Cynthia Price]" c="Cynthia Price"/>
              <i n="[tanish].[Customer_Name].&amp;[Daniel King]" c="Daniel King"/>
              <i n="[tanish].[Customer_Name].&amp;[David Martinez]" c="David Martinez"/>
              <i n="[tanish].[Customer_Name].&amp;[Dennis Gray]" c="Dennis Gray"/>
              <i n="[tanish].[Customer_Name].&amp;[Dorothy Nelson]" c="Dorothy Nelson"/>
              <i n="[tanish].[Customer_Name].&amp;[Douglas Watson]" c="Douglas Watson"/>
              <i n="[tanish].[Customer_Name].&amp;[Edward Mitchell]" c="Edward Mitchell"/>
              <i n="[tanish].[Customer_Name].&amp;[Elizabeth Hall]" c="Elizabeth Hall"/>
              <i n="[tanish].[Customer_Name].&amp;[Emma Wilson]" c="Emma Wilson"/>
              <i n="[tanish].[Customer_Name].&amp;[Frank Torres]" c="Frank Torres"/>
              <i n="[tanish].[Customer_Name].&amp;[George Adams]" c="George Adams"/>
              <i n="[tanish].[Customer_Name].&amp;[Gerald Murphy]" c="Gerald Murphy"/>
              <i n="[tanish].[Customer_Name].&amp;[Harry Morgan]" c="Harry Morgan"/>
              <i n="[tanish].[Customer_Name].&amp;[Helen Roberts]" c="Helen Roberts"/>
              <i n="[tanish].[Customer_Name].&amp;[James Johnson]" c="James Johnson"/>
              <i n="[tanish].[Customer_Name].&amp;[Jennifer Taylor]" c="Jennifer Taylor"/>
              <i n="[tanish].[Customer_Name].&amp;[John Smith]" c="John Smith"/>
              <i n="[tanish].[Customer_Name].&amp;[Joseph Jackson]" c="Joseph Jackson"/>
              <i n="[tanish].[Customer_Name].&amp;[Julie Foster]" c="Julie Foster"/>
              <i n="[tanish].[Customer_Name].&amp;[Karen Hill]" c="Karen Hill"/>
              <i n="[tanish].[Customer_Name].&amp;[Kathleen Bennett]" c="Kathleen Bennett"/>
              <i n="[tanish].[Customer_Name].&amp;[Kevin Scott]" c="Kevin Scott"/>
              <i n="[tanish].[Customer_Name].&amp;[Lawrence Reed]" c="Lawrence Reed"/>
              <i n="[tanish].[Customer_Name].&amp;[Linda Martin]" c="Linda Martin"/>
              <i n="[tanish].[Customer_Name].&amp;[Lisa Anderson]" c="Lisa Anderson"/>
              <i n="[tanish].[Customer_Name].&amp;[Margaret Wright]" c="Margaret Wright"/>
              <i n="[tanish].[Customer_Name].&amp;[Maria Garcia]" c="Maria Garcia"/>
              <i n="[tanish].[Customer_Name].&amp;[Mark Carter]" c="Mark Carter"/>
              <i n="[tanish].[Customer_Name].&amp;[Michael Brown]" c="Michael Brown"/>
              <i n="[tanish].[Customer_Name].&amp;[Michelle Rogers]" c="Michelle Rogers"/>
              <i n="[tanish].[Customer_Name].&amp;[Nancy Collins]" c="Nancy Collins"/>
              <i n="[tanish].[Customer_Name].&amp;[Patricia Moore]" c="Patricia Moore"/>
              <i n="[tanish].[Customer_Name].&amp;[Paul Baker]" c="Paul Baker"/>
              <i n="[tanish].[Customer_Name].&amp;[Peter Richardson]" c="Peter Richardson"/>
              <i n="[tanish].[Customer_Name].&amp;[Raymond Ross]" c="Raymond Ross"/>
              <i n="[tanish].[Customer_Name].&amp;[Richard Lee]" c="Richard Lee"/>
              <i n="[tanish].[Customer_Name].&amp;[Robert Thomas]" c="Robert Thomas"/>
              <i n="[tanish].[Customer_Name].&amp;[Ruth Brooks]" c="Ruth Brooks"/>
              <i n="[tanish].[Customer_Name].&amp;[Sandra Phillips]" c="Sandra Phillips"/>
              <i n="[tanish].[Customer_Name].&amp;[Sarah Davis]" c="Sarah Davis"/>
              <i n="[tanish].[Customer_Name].&amp;[Sharon Butler]" c="Sharon Butler"/>
              <i n="[tanish].[Customer_Name].&amp;[Steven Turner]" c="Steven Turner"/>
              <i n="[tanish].[Customer_Name].&amp;[Susan Green]" c="Susan Green"/>
              <i n="[tanish].[Customer_Name].&amp;[Virginia Sanders]" c="Virginia Sanders"/>
              <i n="[tanish].[Customer_Name].&amp;[William White]" c="William White"/>
            </range>
          </ranges>
        </level>
      </levels>
      <selections count="1">
        <selection n="[tanish].[Customer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A4B7B0-02EB-42F7-89E3-B226BD3A632E}" sourceName="[tanish].[Region]">
  <pivotTables>
    <pivotTable tabId="8" name="PivotTable4"/>
  </pivotTables>
  <data>
    <olap pivotCacheId="1235658404">
      <levels count="2">
        <level uniqueName="[tanish].[Region].[(All)]" sourceCaption="(All)" count="0"/>
        <level uniqueName="[tanish].[Region].[Region]" sourceCaption="Region" count="5">
          <ranges>
            <range startItem="0">
              <i n="[tanish].[Region].&amp;[Central]" c="Central"/>
              <i n="[tanish].[Region].&amp;[East]" c="East"/>
              <i n="[tanish].[Region].&amp;[North]" c="North"/>
              <i n="[tanish].[Region].&amp;[South]" c="South"/>
              <i n="[tanish].[Region].&amp;[West]" c="West"/>
            </range>
          </ranges>
        </level>
      </levels>
      <selections count="1">
        <selection n="[tanish].[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9BB8432-9A18-49CE-9A54-6BC8FC8FB845}" sourceName="[tanish].[Payment_Method]">
  <pivotTables>
    <pivotTable tabId="4" name="PivotTable1"/>
    <pivotTable tabId="7" name="PivotTable3"/>
  </pivotTables>
  <data>
    <olap pivotCacheId="1235658404">
      <levels count="2">
        <level uniqueName="[tanish].[Payment_Method].[(All)]" sourceCaption="(All)" count="0"/>
        <level uniqueName="[tanish].[Payment_Method].[Payment_Method]" sourceCaption="Payment_Method" count="4">
          <ranges>
            <range startItem="0">
              <i n="[tanish].[Payment_Method].&amp;[Cash]" c="Cash"/>
              <i n="[tanish].[Payment_Method].&amp;[Credit Card]" c="Credit Card"/>
              <i n="[tanish].[Payment_Method].&amp;[Debit Card]" c="Debit Card"/>
              <i n="[tanish].[Payment_Method].&amp;[PayPal]" c="PayPal"/>
            </range>
          </ranges>
        </level>
      </levels>
      <selections count="1">
        <selection n="[tanish].[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3EDD7F86-FC2E-42CF-A610-3B9B398B55E3}" cache="Slicer_Customer_Name" caption="Customer_Name" level="1" rowHeight="234950"/>
  <slicer name="Region" xr10:uid="{18F3E130-EAF0-45FE-AEBC-B37B450FA7A0}" cache="Slicer_Region" caption="Region" level="1" rowHeight="234950"/>
  <slicer name="Payment_Method" xr10:uid="{C5A8E9E1-E4A9-4536-9DF3-158FA52F43C8}" cache="Slicer_Payment_Method" caption="Payment_Method"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AADE83-A45D-45CC-98C3-AB9B61A5A42F}" name="Table1" displayName="Table1" ref="A1:P251" totalsRowShown="0" headerRowDxfId="14">
  <autoFilter ref="A1:P251" xr:uid="{69AADE83-A45D-45CC-98C3-AB9B61A5A42F}"/>
  <tableColumns count="16">
    <tableColumn id="1" xr3:uid="{04428D09-06D8-4CB4-AD03-8825BCD714CD}" name="Date" dataDxfId="13"/>
    <tableColumn id="2" xr3:uid="{5AEB5453-8C73-4F8A-B6E6-B17C55DA69F1}" name="Customer_ID" dataDxfId="12"/>
    <tableColumn id="3" xr3:uid="{610E8321-D0F6-4A1C-AF1C-8D2DDBB18AF3}" name="Customer_Name" dataDxfId="11"/>
    <tableColumn id="4" xr3:uid="{3ECB082F-6728-467D-8EB3-460F3E961190}" name="Product_ID" dataDxfId="10"/>
    <tableColumn id="5" xr3:uid="{31F9D482-6E9E-4A59-8B22-C8C4974A2F44}" name="Product_Name" dataDxfId="9"/>
    <tableColumn id="6" xr3:uid="{4F94B391-5D34-4D46-96CD-214B363B67B7}" name="Category" dataDxfId="8"/>
    <tableColumn id="7" xr3:uid="{0E3FDD6B-9F7B-41C9-B61C-64C855B59531}" name="Quantity" dataDxfId="7"/>
    <tableColumn id="8" xr3:uid="{8FB1CC69-E619-4BF1-867F-AC1E1E867482}" name="Unit_Price" dataDxfId="6"/>
    <tableColumn id="9" xr3:uid="{F2B42F02-5CBB-4FA3-BA95-70087725C066}" name="Payment_Method" dataDxfId="5"/>
    <tableColumn id="10" xr3:uid="{F72D3E80-CC26-4E97-A6BE-30A125DBB574}" name="Region" dataDxfId="4"/>
    <tableColumn id="11" xr3:uid="{7DC353D4-A9AA-4B10-95D2-453C2EC2CC45}" name="Customer_Segment" dataDxfId="3"/>
    <tableColumn id="12" xr3:uid="{BB1A708B-93B2-419D-842F-121363D45582}" name="Customer_Since" dataDxfId="2"/>
    <tableColumn id="13" xr3:uid="{EE0A6011-D49B-4757-8EC8-21712CD2F0BA}" name="Total_Amount" dataDxfId="1"/>
    <tableColumn id="14" xr3:uid="{C91E31C3-7528-4EA0-AB43-12D56C097B62}" name="Year">
      <calculatedColumnFormula>YEAR(A2)</calculatedColumnFormula>
    </tableColumn>
    <tableColumn id="15" xr3:uid="{1A93B866-A925-4E8C-98EF-E9F552D5ED98}" name="Month">
      <calculatedColumnFormula>MONTH(A2)</calculatedColumnFormula>
    </tableColumn>
    <tableColumn id="16" xr3:uid="{F2C7AE16-7E5D-4598-9491-092D8FDB90CA}" name="Year - Month">
      <calculatedColumnFormula>TEXT(A2,"yyyy-mm")</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election activeCell="A2" sqref="A2"/>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409.6" x14ac:dyDescent="0.3">
      <c r="A2" s="12"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FCD55-0360-4057-A697-19CE5B7F64E0}">
  <dimension ref="A1:AB35"/>
  <sheetViews>
    <sheetView tabSelected="1" topLeftCell="A2" zoomScale="77" zoomScaleNormal="70" workbookViewId="0">
      <selection sqref="A1:AB1"/>
    </sheetView>
  </sheetViews>
  <sheetFormatPr defaultRowHeight="14.4" x14ac:dyDescent="0.3"/>
  <sheetData>
    <row r="1" spans="1:28" ht="33.6" x14ac:dyDescent="0.65">
      <c r="A1" s="11" t="s">
        <v>173</v>
      </c>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x14ac:dyDescent="0.3">
      <c r="A2" s="9"/>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
      <c r="A3" s="9"/>
      <c r="B3" s="9"/>
      <c r="C3" s="9"/>
      <c r="D3" s="9"/>
      <c r="E3" s="9"/>
      <c r="F3" s="9"/>
      <c r="G3" s="9"/>
      <c r="H3" s="9"/>
      <c r="I3" s="9"/>
      <c r="J3" s="9"/>
      <c r="K3" s="9"/>
      <c r="L3" s="9"/>
      <c r="M3" s="9"/>
      <c r="N3" s="9"/>
      <c r="O3" s="9"/>
      <c r="P3" s="9"/>
      <c r="Q3" s="9"/>
      <c r="R3" s="9"/>
      <c r="S3" s="9"/>
      <c r="T3" s="9"/>
      <c r="U3" s="9"/>
      <c r="V3" s="9"/>
      <c r="W3" s="9"/>
      <c r="X3" s="9"/>
      <c r="Y3" s="9"/>
      <c r="Z3" s="9"/>
      <c r="AA3" s="9"/>
      <c r="AB3" s="9"/>
    </row>
    <row r="4" spans="1:28" x14ac:dyDescent="0.3">
      <c r="A4" s="9"/>
      <c r="B4" s="8"/>
      <c r="C4" s="8"/>
      <c r="D4" s="8"/>
      <c r="E4" s="8"/>
      <c r="F4" s="8"/>
      <c r="G4" s="8"/>
      <c r="H4" s="8"/>
      <c r="I4" s="8"/>
      <c r="J4" s="8"/>
      <c r="K4" s="8"/>
      <c r="L4" s="8"/>
      <c r="M4" s="8"/>
      <c r="N4" s="8"/>
      <c r="O4" s="8"/>
      <c r="P4" s="8"/>
      <c r="Q4" s="8"/>
      <c r="R4" s="8"/>
      <c r="S4" s="8"/>
      <c r="T4" s="8"/>
      <c r="U4" s="8"/>
      <c r="V4" s="8"/>
      <c r="W4" s="8"/>
      <c r="X4" s="8"/>
      <c r="Y4" s="8"/>
      <c r="Z4" s="8"/>
      <c r="AA4" s="8"/>
      <c r="AB4" s="9"/>
    </row>
    <row r="5" spans="1:28" x14ac:dyDescent="0.3">
      <c r="A5" s="9"/>
      <c r="B5" s="8"/>
      <c r="C5" s="8"/>
      <c r="D5" s="8"/>
      <c r="E5" s="8"/>
      <c r="F5" s="8"/>
      <c r="G5" s="8"/>
      <c r="H5" s="8"/>
      <c r="I5" s="8"/>
      <c r="J5" s="8"/>
      <c r="K5" s="8"/>
      <c r="L5" s="8"/>
      <c r="M5" s="8"/>
      <c r="N5" s="8"/>
      <c r="O5" s="8"/>
      <c r="P5" s="8"/>
      <c r="Q5" s="8"/>
      <c r="R5" s="8"/>
      <c r="S5" s="8"/>
      <c r="T5" s="8"/>
      <c r="U5" s="8"/>
      <c r="V5" s="8"/>
      <c r="W5" s="8"/>
      <c r="X5" s="8"/>
      <c r="Y5" s="8"/>
      <c r="Z5" s="8"/>
      <c r="AA5" s="8"/>
      <c r="AB5" s="9"/>
    </row>
    <row r="6" spans="1:28" x14ac:dyDescent="0.3">
      <c r="A6" s="9"/>
      <c r="B6" s="8"/>
      <c r="C6" s="8"/>
      <c r="D6" s="8"/>
      <c r="E6" s="8"/>
      <c r="F6" s="8"/>
      <c r="G6" s="8"/>
      <c r="H6" s="8"/>
      <c r="I6" s="8"/>
      <c r="J6" s="8"/>
      <c r="K6" s="8"/>
      <c r="L6" s="8"/>
      <c r="M6" s="8"/>
      <c r="N6" s="8"/>
      <c r="O6" s="8"/>
      <c r="P6" s="8"/>
      <c r="Q6" s="8"/>
      <c r="R6" s="8"/>
      <c r="S6" s="8"/>
      <c r="T6" s="8"/>
      <c r="U6" s="8"/>
      <c r="V6" s="8"/>
      <c r="W6" s="8"/>
      <c r="X6" s="8"/>
      <c r="Y6" s="8"/>
      <c r="Z6" s="8"/>
      <c r="AA6" s="8"/>
      <c r="AB6" s="9"/>
    </row>
    <row r="7" spans="1:28" x14ac:dyDescent="0.3">
      <c r="A7" s="9"/>
      <c r="B7" s="8"/>
      <c r="C7" s="8"/>
      <c r="D7" s="8"/>
      <c r="E7" s="8"/>
      <c r="F7" s="8"/>
      <c r="G7" s="8"/>
      <c r="H7" s="8"/>
      <c r="I7" s="8"/>
      <c r="J7" s="8"/>
      <c r="K7" s="8"/>
      <c r="L7" s="8"/>
      <c r="M7" s="8"/>
      <c r="N7" s="8"/>
      <c r="O7" s="8"/>
      <c r="P7" s="8"/>
      <c r="Q7" s="8"/>
      <c r="R7" s="8"/>
      <c r="S7" s="8"/>
      <c r="T7" s="8"/>
      <c r="U7" s="8"/>
      <c r="V7" s="8"/>
      <c r="W7" s="8"/>
      <c r="X7" s="8"/>
      <c r="Y7" s="8"/>
      <c r="Z7" s="8"/>
      <c r="AA7" s="8"/>
      <c r="AB7" s="9"/>
    </row>
    <row r="8" spans="1:28" x14ac:dyDescent="0.3">
      <c r="A8" s="9"/>
      <c r="B8" s="8"/>
      <c r="C8" s="8"/>
      <c r="D8" s="8"/>
      <c r="E8" s="8"/>
      <c r="F8" s="8"/>
      <c r="G8" s="8"/>
      <c r="H8" s="8"/>
      <c r="I8" s="8"/>
      <c r="J8" s="8"/>
      <c r="K8" s="8"/>
      <c r="L8" s="8"/>
      <c r="M8" s="8"/>
      <c r="N8" s="8"/>
      <c r="O8" s="8"/>
      <c r="P8" s="8"/>
      <c r="Q8" s="8"/>
      <c r="R8" s="8"/>
      <c r="S8" s="8"/>
      <c r="T8" s="8"/>
      <c r="U8" s="8"/>
      <c r="V8" s="8"/>
      <c r="W8" s="8"/>
      <c r="X8" s="8"/>
      <c r="Y8" s="8"/>
      <c r="Z8" s="8"/>
      <c r="AA8" s="8"/>
      <c r="AB8" s="9"/>
    </row>
    <row r="9" spans="1:28" x14ac:dyDescent="0.3">
      <c r="A9" s="9"/>
      <c r="B9" s="8"/>
      <c r="C9" s="8"/>
      <c r="D9" s="8"/>
      <c r="E9" s="8"/>
      <c r="F9" s="8"/>
      <c r="G9" s="8"/>
      <c r="H9" s="8"/>
      <c r="I9" s="8"/>
      <c r="J9" s="8"/>
      <c r="K9" s="8"/>
      <c r="L9" s="8"/>
      <c r="M9" s="8"/>
      <c r="N9" s="8"/>
      <c r="O9" s="8"/>
      <c r="P9" s="8"/>
      <c r="Q9" s="8"/>
      <c r="R9" s="8"/>
      <c r="S9" s="8"/>
      <c r="T9" s="8"/>
      <c r="U9" s="8"/>
      <c r="V9" s="8"/>
      <c r="W9" s="8"/>
      <c r="X9" s="8"/>
      <c r="Y9" s="8"/>
      <c r="Z9" s="8"/>
      <c r="AA9" s="8"/>
      <c r="AB9" s="9"/>
    </row>
    <row r="10" spans="1:28" x14ac:dyDescent="0.3">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9"/>
    </row>
    <row r="11" spans="1:28" x14ac:dyDescent="0.3">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9"/>
    </row>
    <row r="12" spans="1:28" x14ac:dyDescent="0.3">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9"/>
    </row>
    <row r="13" spans="1:28" x14ac:dyDescent="0.3">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9"/>
    </row>
    <row r="14" spans="1:28" x14ac:dyDescent="0.3">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9"/>
    </row>
    <row r="15" spans="1:28" x14ac:dyDescent="0.3">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9"/>
    </row>
    <row r="16" spans="1:28" x14ac:dyDescent="0.3">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9"/>
    </row>
    <row r="17" spans="1:28" x14ac:dyDescent="0.3">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9"/>
    </row>
    <row r="18" spans="1:28" x14ac:dyDescent="0.3">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9"/>
    </row>
    <row r="19" spans="1:28" x14ac:dyDescent="0.3">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9"/>
    </row>
    <row r="20" spans="1:28" x14ac:dyDescent="0.3">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9"/>
    </row>
    <row r="21" spans="1:28" x14ac:dyDescent="0.3">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9"/>
    </row>
    <row r="22" spans="1:28" x14ac:dyDescent="0.3">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9"/>
    </row>
    <row r="23" spans="1:28" x14ac:dyDescent="0.3">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9"/>
    </row>
    <row r="24" spans="1:28" x14ac:dyDescent="0.3">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9"/>
    </row>
    <row r="25" spans="1:28" x14ac:dyDescent="0.3">
      <c r="A25" s="9"/>
      <c r="B25" s="8"/>
      <c r="C25" s="8"/>
      <c r="D25" s="8"/>
      <c r="E25" s="8"/>
      <c r="F25" s="8"/>
      <c r="G25" s="8"/>
      <c r="H25" s="8"/>
      <c r="I25" s="8"/>
      <c r="J25" s="8"/>
      <c r="K25" s="8"/>
      <c r="L25" s="8"/>
      <c r="M25" s="8"/>
      <c r="N25" s="8"/>
      <c r="O25" s="8"/>
      <c r="P25" s="8"/>
      <c r="Q25" s="8"/>
      <c r="R25" s="8"/>
      <c r="S25" s="8"/>
      <c r="T25" s="8"/>
      <c r="U25" s="8"/>
      <c r="V25" s="8"/>
      <c r="W25" s="8"/>
      <c r="X25" s="8"/>
      <c r="Y25" s="8"/>
      <c r="Z25" s="8"/>
      <c r="AA25" s="8"/>
      <c r="AB25" s="9"/>
    </row>
    <row r="26" spans="1:28" x14ac:dyDescent="0.3">
      <c r="A26" s="9"/>
      <c r="B26" s="8"/>
      <c r="C26" s="8"/>
      <c r="D26" s="8"/>
      <c r="E26" s="8"/>
      <c r="F26" s="8"/>
      <c r="G26" s="8"/>
      <c r="H26" s="8"/>
      <c r="I26" s="8"/>
      <c r="J26" s="8"/>
      <c r="K26" s="8"/>
      <c r="L26" s="8"/>
      <c r="M26" s="8"/>
      <c r="N26" s="8"/>
      <c r="O26" s="8"/>
      <c r="P26" s="8"/>
      <c r="Q26" s="8"/>
      <c r="R26" s="8"/>
      <c r="S26" s="8"/>
      <c r="T26" s="8"/>
      <c r="U26" s="8"/>
      <c r="V26" s="8"/>
      <c r="W26" s="8"/>
      <c r="X26" s="8"/>
      <c r="Y26" s="8"/>
      <c r="Z26" s="8"/>
      <c r="AA26" s="8"/>
      <c r="AB26" s="9"/>
    </row>
    <row r="27" spans="1:28" x14ac:dyDescent="0.3">
      <c r="A27" s="9"/>
      <c r="B27" s="8"/>
      <c r="C27" s="8"/>
      <c r="D27" s="8"/>
      <c r="E27" s="8"/>
      <c r="F27" s="8"/>
      <c r="G27" s="8"/>
      <c r="H27" s="8"/>
      <c r="I27" s="8"/>
      <c r="J27" s="8"/>
      <c r="K27" s="8"/>
      <c r="L27" s="8"/>
      <c r="M27" s="8"/>
      <c r="N27" s="8"/>
      <c r="O27" s="8"/>
      <c r="P27" s="8"/>
      <c r="Q27" s="8"/>
      <c r="R27" s="8"/>
      <c r="S27" s="8"/>
      <c r="T27" s="8"/>
      <c r="U27" s="8"/>
      <c r="V27" s="8"/>
      <c r="W27" s="8"/>
      <c r="X27" s="8"/>
      <c r="Y27" s="8"/>
      <c r="Z27" s="8"/>
      <c r="AA27" s="8"/>
      <c r="AB27" s="9"/>
    </row>
    <row r="28" spans="1:28" x14ac:dyDescent="0.3">
      <c r="A28" s="9"/>
      <c r="B28" s="8"/>
      <c r="C28" s="8"/>
      <c r="D28" s="8"/>
      <c r="E28" s="8"/>
      <c r="F28" s="8"/>
      <c r="G28" s="8"/>
      <c r="H28" s="8"/>
      <c r="I28" s="8"/>
      <c r="J28" s="8"/>
      <c r="K28" s="8"/>
      <c r="L28" s="8"/>
      <c r="M28" s="8"/>
      <c r="N28" s="8"/>
      <c r="O28" s="8"/>
      <c r="P28" s="8"/>
      <c r="Q28" s="8"/>
      <c r="R28" s="8"/>
      <c r="S28" s="8"/>
      <c r="T28" s="8"/>
      <c r="U28" s="8"/>
      <c r="V28" s="8"/>
      <c r="W28" s="8"/>
      <c r="X28" s="8"/>
      <c r="Y28" s="8"/>
      <c r="Z28" s="8"/>
      <c r="AA28" s="8"/>
      <c r="AB28" s="9"/>
    </row>
    <row r="29" spans="1:28" x14ac:dyDescent="0.3">
      <c r="A29" s="9"/>
      <c r="B29" s="8"/>
      <c r="C29" s="8"/>
      <c r="D29" s="8"/>
      <c r="E29" s="8"/>
      <c r="F29" s="8"/>
      <c r="G29" s="8"/>
      <c r="H29" s="8"/>
      <c r="I29" s="8"/>
      <c r="J29" s="8"/>
      <c r="K29" s="8"/>
      <c r="L29" s="8"/>
      <c r="M29" s="8"/>
      <c r="N29" s="8"/>
      <c r="O29" s="8"/>
      <c r="P29" s="8"/>
      <c r="Q29" s="8"/>
      <c r="R29" s="8"/>
      <c r="S29" s="8"/>
      <c r="T29" s="8"/>
      <c r="U29" s="8"/>
      <c r="V29" s="8"/>
      <c r="W29" s="8"/>
      <c r="X29" s="8"/>
      <c r="Y29" s="8"/>
      <c r="Z29" s="8"/>
      <c r="AA29" s="8"/>
      <c r="AB29" s="9"/>
    </row>
    <row r="30" spans="1:28" x14ac:dyDescent="0.3">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9"/>
    </row>
    <row r="31" spans="1:28" x14ac:dyDescent="0.3">
      <c r="A31" s="9"/>
      <c r="B31" s="8"/>
      <c r="C31" s="8"/>
      <c r="D31" s="8"/>
      <c r="E31" s="8"/>
      <c r="F31" s="8"/>
      <c r="G31" s="8"/>
      <c r="H31" s="8"/>
      <c r="I31" s="8"/>
      <c r="J31" s="8"/>
      <c r="K31" s="8"/>
      <c r="L31" s="8"/>
      <c r="M31" s="8"/>
      <c r="N31" s="8"/>
      <c r="O31" s="8"/>
      <c r="P31" s="8"/>
      <c r="Q31" s="8"/>
      <c r="R31" s="8"/>
      <c r="S31" s="8"/>
      <c r="T31" s="8"/>
      <c r="U31" s="8"/>
      <c r="V31" s="8"/>
      <c r="W31" s="8"/>
      <c r="X31" s="8"/>
      <c r="Y31" s="8"/>
      <c r="Z31" s="8"/>
      <c r="AA31" s="8"/>
      <c r="AB31" s="9"/>
    </row>
    <row r="32" spans="1:28" x14ac:dyDescent="0.3">
      <c r="A32" s="9"/>
      <c r="B32" s="8"/>
      <c r="C32" s="8"/>
      <c r="D32" s="8"/>
      <c r="E32" s="8"/>
      <c r="F32" s="8"/>
      <c r="G32" s="8"/>
      <c r="H32" s="8"/>
      <c r="I32" s="8"/>
      <c r="J32" s="8"/>
      <c r="K32" s="8"/>
      <c r="L32" s="8"/>
      <c r="M32" s="8"/>
      <c r="N32" s="8"/>
      <c r="O32" s="8"/>
      <c r="P32" s="8"/>
      <c r="Q32" s="8"/>
      <c r="R32" s="8"/>
      <c r="S32" s="8"/>
      <c r="T32" s="8"/>
      <c r="U32" s="8"/>
      <c r="V32" s="8"/>
      <c r="W32" s="8"/>
      <c r="X32" s="8"/>
      <c r="Y32" s="8"/>
      <c r="Z32" s="8"/>
      <c r="AA32" s="8"/>
      <c r="AB32" s="9"/>
    </row>
    <row r="33" spans="1:28"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spans="1:28"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row>
    <row r="35" spans="1:28"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row>
  </sheetData>
  <mergeCells count="1">
    <mergeCell ref="A1:AB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J2" sqref="J2"/>
    </sheetView>
  </sheetViews>
  <sheetFormatPr defaultColWidth="14.44140625" defaultRowHeight="15" customHeight="1" x14ac:dyDescent="0.3"/>
  <cols>
    <col min="1" max="1" width="10.88671875" customWidth="1"/>
    <col min="2" max="2" width="13.77734375" customWidth="1"/>
    <col min="3" max="3" width="17" customWidth="1"/>
    <col min="4" max="4" width="12.33203125" customWidth="1"/>
    <col min="5" max="5" width="15.5546875" customWidth="1"/>
    <col min="6" max="6" width="10.44140625" customWidth="1"/>
    <col min="7" max="7" width="10.21875" customWidth="1"/>
    <col min="8" max="8" width="11.5546875" customWidth="1"/>
    <col min="9" max="9" width="18.21875" customWidth="1"/>
    <col min="10" max="10" width="8.6640625" customWidth="1"/>
    <col min="11" max="11" width="19.44140625" customWidth="1"/>
    <col min="12" max="12" width="16.44140625" customWidth="1"/>
    <col min="13" max="13" width="15" customWidth="1"/>
    <col min="14" max="15" width="8.6640625" customWidth="1"/>
    <col min="16" max="16" width="13.88671875" customWidth="1"/>
    <col min="17" max="25" width="8.6640625" customWidth="1"/>
  </cols>
  <sheetData>
    <row r="1" spans="1:25" ht="14.4" x14ac:dyDescent="0.3">
      <c r="A1" s="3" t="s">
        <v>2</v>
      </c>
      <c r="B1" s="3" t="s">
        <v>3</v>
      </c>
      <c r="C1" s="3" t="s">
        <v>4</v>
      </c>
      <c r="D1" s="3" t="s">
        <v>5</v>
      </c>
      <c r="E1" s="3" t="s">
        <v>6</v>
      </c>
      <c r="F1" s="3" t="s">
        <v>7</v>
      </c>
      <c r="G1" s="3" t="s">
        <v>8</v>
      </c>
      <c r="H1" s="3" t="s">
        <v>9</v>
      </c>
      <c r="I1" s="3" t="s">
        <v>10</v>
      </c>
      <c r="J1" s="3" t="s">
        <v>11</v>
      </c>
      <c r="K1" s="3" t="s">
        <v>12</v>
      </c>
      <c r="L1" s="3" t="s">
        <v>13</v>
      </c>
      <c r="M1" s="3" t="s">
        <v>14</v>
      </c>
      <c r="N1" s="3" t="s">
        <v>150</v>
      </c>
      <c r="O1" s="3" t="s">
        <v>151</v>
      </c>
      <c r="P1" s="3" t="s">
        <v>152</v>
      </c>
      <c r="Q1" s="3"/>
      <c r="R1" s="3"/>
      <c r="S1" s="3"/>
      <c r="T1" s="3"/>
      <c r="U1" s="3"/>
      <c r="V1" s="3"/>
      <c r="W1" s="3"/>
      <c r="X1" s="3"/>
      <c r="Y1" s="3"/>
    </row>
    <row r="2" spans="1:25" ht="14.4" x14ac:dyDescent="0.3">
      <c r="A2" s="5">
        <v>45393</v>
      </c>
      <c r="B2" s="4" t="s">
        <v>15</v>
      </c>
      <c r="C2" s="4" t="s">
        <v>16</v>
      </c>
      <c r="D2" s="4" t="s">
        <v>17</v>
      </c>
      <c r="E2" s="4" t="s">
        <v>18</v>
      </c>
      <c r="F2" s="4" t="s">
        <v>19</v>
      </c>
      <c r="G2" s="4">
        <v>3</v>
      </c>
      <c r="H2" s="4">
        <v>249.99</v>
      </c>
      <c r="I2" s="4" t="s">
        <v>20</v>
      </c>
      <c r="J2" s="4" t="s">
        <v>21</v>
      </c>
      <c r="K2" s="4" t="s">
        <v>22</v>
      </c>
      <c r="L2" s="5">
        <v>44425</v>
      </c>
      <c r="M2" s="4">
        <v>749.97</v>
      </c>
      <c r="N2">
        <f>YEAR(A2)</f>
        <v>2024</v>
      </c>
      <c r="O2">
        <f>MONTH(A2)</f>
        <v>4</v>
      </c>
      <c r="P2" t="str">
        <f>TEXT(A2,"yyyy-mm")</f>
        <v>2024-04</v>
      </c>
    </row>
    <row r="3" spans="1:25" ht="14.4" x14ac:dyDescent="0.3">
      <c r="A3" s="5">
        <v>45396</v>
      </c>
      <c r="B3" s="4" t="s">
        <v>23</v>
      </c>
      <c r="C3" s="4" t="s">
        <v>24</v>
      </c>
      <c r="D3" s="4" t="s">
        <v>17</v>
      </c>
      <c r="E3" s="4" t="s">
        <v>18</v>
      </c>
      <c r="F3" s="4" t="s">
        <v>19</v>
      </c>
      <c r="G3" s="4">
        <v>3</v>
      </c>
      <c r="H3" s="4">
        <v>249.99</v>
      </c>
      <c r="I3" s="4" t="s">
        <v>25</v>
      </c>
      <c r="J3" s="4" t="s">
        <v>21</v>
      </c>
      <c r="K3" s="4" t="s">
        <v>26</v>
      </c>
      <c r="L3" s="5">
        <v>44575</v>
      </c>
      <c r="M3" s="4">
        <v>749.97</v>
      </c>
      <c r="N3">
        <f t="shared" ref="N3:N66" si="0">YEAR(A3)</f>
        <v>2024</v>
      </c>
      <c r="O3">
        <f t="shared" ref="O3:O66" si="1">MONTH(A3)</f>
        <v>4</v>
      </c>
      <c r="P3" t="str">
        <f t="shared" ref="P3:P66" si="2">TEXT(A3,"yyyy-mm")</f>
        <v>2024-04</v>
      </c>
    </row>
    <row r="4" spans="1:25" ht="14.4" x14ac:dyDescent="0.3">
      <c r="A4" s="5">
        <v>45399</v>
      </c>
      <c r="B4" s="4" t="s">
        <v>27</v>
      </c>
      <c r="C4" s="4" t="s">
        <v>28</v>
      </c>
      <c r="D4" s="4" t="s">
        <v>29</v>
      </c>
      <c r="E4" s="4" t="s">
        <v>30</v>
      </c>
      <c r="F4" s="4" t="s">
        <v>31</v>
      </c>
      <c r="G4" s="4">
        <v>3</v>
      </c>
      <c r="H4" s="4">
        <v>59.99</v>
      </c>
      <c r="I4" s="4" t="s">
        <v>32</v>
      </c>
      <c r="J4" s="4" t="s">
        <v>33</v>
      </c>
      <c r="K4" s="4" t="s">
        <v>34</v>
      </c>
      <c r="L4" s="5">
        <v>45262</v>
      </c>
      <c r="M4" s="4">
        <v>179.97</v>
      </c>
      <c r="N4">
        <f t="shared" si="0"/>
        <v>2024</v>
      </c>
      <c r="O4">
        <f t="shared" si="1"/>
        <v>4</v>
      </c>
      <c r="P4" t="str">
        <f t="shared" si="2"/>
        <v>2024-04</v>
      </c>
    </row>
    <row r="5" spans="1:25" ht="14.4" x14ac:dyDescent="0.3">
      <c r="A5" s="5">
        <v>45400</v>
      </c>
      <c r="B5" s="4" t="s">
        <v>35</v>
      </c>
      <c r="C5" s="4" t="s">
        <v>36</v>
      </c>
      <c r="D5" s="4" t="s">
        <v>29</v>
      </c>
      <c r="E5" s="4" t="s">
        <v>30</v>
      </c>
      <c r="F5" s="4" t="s">
        <v>31</v>
      </c>
      <c r="G5" s="4">
        <v>3</v>
      </c>
      <c r="H5" s="4">
        <v>59.99</v>
      </c>
      <c r="I5" s="4" t="s">
        <v>20</v>
      </c>
      <c r="J5" s="4" t="s">
        <v>37</v>
      </c>
      <c r="K5" s="4" t="s">
        <v>26</v>
      </c>
      <c r="L5" s="5">
        <v>45114</v>
      </c>
      <c r="M5" s="4">
        <v>179.97</v>
      </c>
      <c r="N5">
        <f t="shared" si="0"/>
        <v>2024</v>
      </c>
      <c r="O5">
        <f t="shared" si="1"/>
        <v>4</v>
      </c>
      <c r="P5" t="str">
        <f t="shared" si="2"/>
        <v>2024-04</v>
      </c>
    </row>
    <row r="6" spans="1:25" ht="14.4" x14ac:dyDescent="0.3">
      <c r="A6" s="5">
        <v>45400</v>
      </c>
      <c r="B6" s="4" t="s">
        <v>38</v>
      </c>
      <c r="C6" s="4" t="s">
        <v>39</v>
      </c>
      <c r="D6" s="4" t="s">
        <v>40</v>
      </c>
      <c r="E6" s="4" t="s">
        <v>41</v>
      </c>
      <c r="F6" s="4" t="s">
        <v>42</v>
      </c>
      <c r="G6" s="4">
        <v>5</v>
      </c>
      <c r="H6" s="4">
        <v>149.99</v>
      </c>
      <c r="I6" s="4" t="s">
        <v>25</v>
      </c>
      <c r="J6" s="4" t="s">
        <v>37</v>
      </c>
      <c r="K6" s="4" t="s">
        <v>26</v>
      </c>
      <c r="L6" s="5">
        <v>45295</v>
      </c>
      <c r="M6" s="4">
        <v>749.95</v>
      </c>
      <c r="N6">
        <f t="shared" si="0"/>
        <v>2024</v>
      </c>
      <c r="O6">
        <f t="shared" si="1"/>
        <v>4</v>
      </c>
      <c r="P6" t="str">
        <f t="shared" si="2"/>
        <v>2024-04</v>
      </c>
    </row>
    <row r="7" spans="1:25" ht="14.4" x14ac:dyDescent="0.3">
      <c r="A7" s="5">
        <v>45403</v>
      </c>
      <c r="B7" s="4" t="s">
        <v>43</v>
      </c>
      <c r="C7" s="4" t="s">
        <v>44</v>
      </c>
      <c r="D7" s="4" t="s">
        <v>29</v>
      </c>
      <c r="E7" s="4" t="s">
        <v>30</v>
      </c>
      <c r="F7" s="4" t="s">
        <v>31</v>
      </c>
      <c r="G7" s="4">
        <v>2</v>
      </c>
      <c r="H7" s="4">
        <v>59.99</v>
      </c>
      <c r="I7" s="4" t="s">
        <v>20</v>
      </c>
      <c r="J7" s="4" t="s">
        <v>45</v>
      </c>
      <c r="K7" s="4" t="s">
        <v>34</v>
      </c>
      <c r="L7" s="5">
        <v>44746</v>
      </c>
      <c r="M7" s="4">
        <v>119.98</v>
      </c>
      <c r="N7">
        <f t="shared" si="0"/>
        <v>2024</v>
      </c>
      <c r="O7">
        <f t="shared" si="1"/>
        <v>4</v>
      </c>
      <c r="P7" t="str">
        <f t="shared" si="2"/>
        <v>2024-04</v>
      </c>
    </row>
    <row r="8" spans="1:25" ht="14.4" x14ac:dyDescent="0.3">
      <c r="A8" s="5">
        <v>45403</v>
      </c>
      <c r="B8" s="4" t="s">
        <v>43</v>
      </c>
      <c r="C8" s="4" t="s">
        <v>44</v>
      </c>
      <c r="D8" s="4" t="s">
        <v>46</v>
      </c>
      <c r="E8" s="4" t="s">
        <v>47</v>
      </c>
      <c r="F8" s="4" t="s">
        <v>19</v>
      </c>
      <c r="G8" s="4">
        <v>5</v>
      </c>
      <c r="H8" s="4">
        <v>149.99</v>
      </c>
      <c r="I8" s="4" t="s">
        <v>25</v>
      </c>
      <c r="J8" s="4" t="s">
        <v>21</v>
      </c>
      <c r="K8" s="4" t="s">
        <v>34</v>
      </c>
      <c r="L8" s="5">
        <v>44418</v>
      </c>
      <c r="M8" s="4">
        <v>749.95</v>
      </c>
      <c r="N8">
        <f t="shared" si="0"/>
        <v>2024</v>
      </c>
      <c r="O8">
        <f t="shared" si="1"/>
        <v>4</v>
      </c>
      <c r="P8" t="str">
        <f t="shared" si="2"/>
        <v>2024-04</v>
      </c>
    </row>
    <row r="9" spans="1:25" ht="14.4" x14ac:dyDescent="0.3">
      <c r="A9" s="5">
        <v>45403</v>
      </c>
      <c r="B9" s="4" t="s">
        <v>48</v>
      </c>
      <c r="C9" s="4" t="s">
        <v>49</v>
      </c>
      <c r="D9" s="4" t="s">
        <v>29</v>
      </c>
      <c r="E9" s="4" t="s">
        <v>30</v>
      </c>
      <c r="F9" s="4" t="s">
        <v>31</v>
      </c>
      <c r="G9" s="4">
        <v>3</v>
      </c>
      <c r="H9" s="4">
        <v>59.99</v>
      </c>
      <c r="I9" s="4" t="s">
        <v>50</v>
      </c>
      <c r="J9" s="4" t="s">
        <v>33</v>
      </c>
      <c r="K9" s="4" t="s">
        <v>22</v>
      </c>
      <c r="L9" s="5">
        <v>45007</v>
      </c>
      <c r="M9" s="4">
        <v>179.97</v>
      </c>
      <c r="N9">
        <f t="shared" si="0"/>
        <v>2024</v>
      </c>
      <c r="O9">
        <f t="shared" si="1"/>
        <v>4</v>
      </c>
      <c r="P9" t="str">
        <f t="shared" si="2"/>
        <v>2024-04</v>
      </c>
    </row>
    <row r="10" spans="1:25" ht="14.4" x14ac:dyDescent="0.3">
      <c r="A10" s="5">
        <v>45405</v>
      </c>
      <c r="B10" s="4" t="s">
        <v>51</v>
      </c>
      <c r="C10" s="4" t="s">
        <v>52</v>
      </c>
      <c r="D10" s="4" t="s">
        <v>53</v>
      </c>
      <c r="E10" s="4" t="s">
        <v>54</v>
      </c>
      <c r="F10" s="4" t="s">
        <v>19</v>
      </c>
      <c r="G10" s="4">
        <v>3</v>
      </c>
      <c r="H10" s="4">
        <v>899.99</v>
      </c>
      <c r="I10" s="4" t="s">
        <v>32</v>
      </c>
      <c r="J10" s="4" t="s">
        <v>55</v>
      </c>
      <c r="K10" s="4" t="s">
        <v>34</v>
      </c>
      <c r="L10" s="5">
        <v>45299</v>
      </c>
      <c r="M10" s="4">
        <v>2699.97</v>
      </c>
      <c r="N10">
        <f t="shared" si="0"/>
        <v>2024</v>
      </c>
      <c r="O10">
        <f t="shared" si="1"/>
        <v>4</v>
      </c>
      <c r="P10" t="str">
        <f t="shared" si="2"/>
        <v>2024-04</v>
      </c>
    </row>
    <row r="11" spans="1:25" ht="14.4" x14ac:dyDescent="0.3">
      <c r="A11" s="5">
        <v>45408</v>
      </c>
      <c r="B11" s="4" t="s">
        <v>56</v>
      </c>
      <c r="C11" s="4" t="s">
        <v>57</v>
      </c>
      <c r="D11" s="4" t="s">
        <v>29</v>
      </c>
      <c r="E11" s="4" t="s">
        <v>30</v>
      </c>
      <c r="F11" s="4" t="s">
        <v>31</v>
      </c>
      <c r="G11" s="4">
        <v>3</v>
      </c>
      <c r="H11" s="4">
        <v>59.99</v>
      </c>
      <c r="I11" s="4" t="s">
        <v>20</v>
      </c>
      <c r="J11" s="4" t="s">
        <v>45</v>
      </c>
      <c r="K11" s="4" t="s">
        <v>26</v>
      </c>
      <c r="L11" s="5">
        <v>45207</v>
      </c>
      <c r="M11" s="4">
        <v>179.97</v>
      </c>
      <c r="N11">
        <f t="shared" si="0"/>
        <v>2024</v>
      </c>
      <c r="O11">
        <f t="shared" si="1"/>
        <v>4</v>
      </c>
      <c r="P11" t="str">
        <f t="shared" si="2"/>
        <v>2024-04</v>
      </c>
    </row>
    <row r="12" spans="1:25" ht="14.4" x14ac:dyDescent="0.3">
      <c r="A12" s="5">
        <v>45408</v>
      </c>
      <c r="B12" s="4" t="s">
        <v>58</v>
      </c>
      <c r="C12" s="4" t="s">
        <v>59</v>
      </c>
      <c r="D12" s="4" t="s">
        <v>40</v>
      </c>
      <c r="E12" s="4" t="s">
        <v>41</v>
      </c>
      <c r="F12" s="4" t="s">
        <v>42</v>
      </c>
      <c r="G12" s="4">
        <v>1</v>
      </c>
      <c r="H12" s="4">
        <v>149.99</v>
      </c>
      <c r="I12" s="4" t="s">
        <v>25</v>
      </c>
      <c r="J12" s="4" t="s">
        <v>45</v>
      </c>
      <c r="K12" s="4" t="s">
        <v>34</v>
      </c>
      <c r="L12" s="5">
        <v>45103</v>
      </c>
      <c r="M12" s="4">
        <v>149.99</v>
      </c>
      <c r="N12">
        <f t="shared" si="0"/>
        <v>2024</v>
      </c>
      <c r="O12">
        <f t="shared" si="1"/>
        <v>4</v>
      </c>
      <c r="P12" t="str">
        <f t="shared" si="2"/>
        <v>2024-04</v>
      </c>
    </row>
    <row r="13" spans="1:25" ht="14.4" x14ac:dyDescent="0.3">
      <c r="A13" s="5">
        <v>45408</v>
      </c>
      <c r="B13" s="4" t="s">
        <v>35</v>
      </c>
      <c r="C13" s="4" t="s">
        <v>36</v>
      </c>
      <c r="D13" s="4" t="s">
        <v>40</v>
      </c>
      <c r="E13" s="4" t="s">
        <v>41</v>
      </c>
      <c r="F13" s="4" t="s">
        <v>42</v>
      </c>
      <c r="G13" s="4">
        <v>5</v>
      </c>
      <c r="H13" s="4">
        <v>149.99</v>
      </c>
      <c r="I13" s="4" t="s">
        <v>50</v>
      </c>
      <c r="J13" s="4" t="s">
        <v>37</v>
      </c>
      <c r="K13" s="4" t="s">
        <v>22</v>
      </c>
      <c r="L13" s="5">
        <v>44830</v>
      </c>
      <c r="M13" s="4">
        <v>749.95</v>
      </c>
      <c r="N13">
        <f t="shared" si="0"/>
        <v>2024</v>
      </c>
      <c r="O13">
        <f t="shared" si="1"/>
        <v>4</v>
      </c>
      <c r="P13" t="str">
        <f t="shared" si="2"/>
        <v>2024-04</v>
      </c>
    </row>
    <row r="14" spans="1:25" ht="14.4" x14ac:dyDescent="0.3">
      <c r="A14" s="5">
        <v>45408</v>
      </c>
      <c r="B14" s="4" t="s">
        <v>60</v>
      </c>
      <c r="C14" s="4" t="s">
        <v>61</v>
      </c>
      <c r="D14" s="4" t="s">
        <v>40</v>
      </c>
      <c r="E14" s="4" t="s">
        <v>41</v>
      </c>
      <c r="F14" s="4" t="s">
        <v>42</v>
      </c>
      <c r="G14" s="4">
        <v>3</v>
      </c>
      <c r="H14" s="4">
        <v>149.99</v>
      </c>
      <c r="I14" s="4" t="s">
        <v>20</v>
      </c>
      <c r="J14" s="4" t="s">
        <v>37</v>
      </c>
      <c r="K14" s="4" t="s">
        <v>26</v>
      </c>
      <c r="L14" s="5">
        <v>44806</v>
      </c>
      <c r="M14" s="4">
        <v>449.97</v>
      </c>
      <c r="N14">
        <f t="shared" si="0"/>
        <v>2024</v>
      </c>
      <c r="O14">
        <f t="shared" si="1"/>
        <v>4</v>
      </c>
      <c r="P14" t="str">
        <f t="shared" si="2"/>
        <v>2024-04</v>
      </c>
    </row>
    <row r="15" spans="1:25" ht="14.4" x14ac:dyDescent="0.3">
      <c r="A15" s="5">
        <v>45409</v>
      </c>
      <c r="B15" s="4" t="s">
        <v>62</v>
      </c>
      <c r="C15" s="4" t="s">
        <v>63</v>
      </c>
      <c r="D15" s="4" t="s">
        <v>29</v>
      </c>
      <c r="E15" s="4" t="s">
        <v>30</v>
      </c>
      <c r="F15" s="4" t="s">
        <v>31</v>
      </c>
      <c r="G15" s="4">
        <v>3</v>
      </c>
      <c r="H15" s="4">
        <v>59.99</v>
      </c>
      <c r="I15" s="4" t="s">
        <v>25</v>
      </c>
      <c r="J15" s="4" t="s">
        <v>37</v>
      </c>
      <c r="K15" s="4" t="s">
        <v>34</v>
      </c>
      <c r="L15" s="5">
        <v>45351</v>
      </c>
      <c r="M15" s="4">
        <v>179.97</v>
      </c>
      <c r="N15">
        <f t="shared" si="0"/>
        <v>2024</v>
      </c>
      <c r="O15">
        <f t="shared" si="1"/>
        <v>4</v>
      </c>
      <c r="P15" t="str">
        <f t="shared" si="2"/>
        <v>2024-04</v>
      </c>
    </row>
    <row r="16" spans="1:25" ht="14.4" x14ac:dyDescent="0.3">
      <c r="A16" s="5">
        <v>45409</v>
      </c>
      <c r="B16" s="4" t="s">
        <v>64</v>
      </c>
      <c r="C16" s="4" t="s">
        <v>65</v>
      </c>
      <c r="D16" s="4" t="s">
        <v>66</v>
      </c>
      <c r="E16" s="4" t="s">
        <v>67</v>
      </c>
      <c r="F16" s="4" t="s">
        <v>19</v>
      </c>
      <c r="G16" s="4">
        <v>3</v>
      </c>
      <c r="H16" s="4">
        <v>699.99</v>
      </c>
      <c r="I16" s="4" t="s">
        <v>25</v>
      </c>
      <c r="J16" s="4" t="s">
        <v>45</v>
      </c>
      <c r="K16" s="4" t="s">
        <v>22</v>
      </c>
      <c r="L16" s="5">
        <v>44577</v>
      </c>
      <c r="M16" s="4">
        <v>2099.9699999999998</v>
      </c>
      <c r="N16">
        <f t="shared" si="0"/>
        <v>2024</v>
      </c>
      <c r="O16">
        <f t="shared" si="1"/>
        <v>4</v>
      </c>
      <c r="P16" t="str">
        <f t="shared" si="2"/>
        <v>2024-04</v>
      </c>
    </row>
    <row r="17" spans="1:16" ht="14.4" x14ac:dyDescent="0.3">
      <c r="A17" s="5">
        <v>45409</v>
      </c>
      <c r="B17" s="4" t="s">
        <v>68</v>
      </c>
      <c r="C17" s="4" t="s">
        <v>69</v>
      </c>
      <c r="D17" s="4" t="s">
        <v>53</v>
      </c>
      <c r="E17" s="4" t="s">
        <v>54</v>
      </c>
      <c r="F17" s="4" t="s">
        <v>19</v>
      </c>
      <c r="G17" s="4">
        <v>1</v>
      </c>
      <c r="H17" s="4">
        <v>899.99</v>
      </c>
      <c r="I17" s="4" t="s">
        <v>50</v>
      </c>
      <c r="J17" s="4" t="s">
        <v>37</v>
      </c>
      <c r="K17" s="4" t="s">
        <v>34</v>
      </c>
      <c r="L17" s="5">
        <v>44920</v>
      </c>
      <c r="M17" s="4">
        <v>899.99</v>
      </c>
      <c r="N17">
        <f t="shared" si="0"/>
        <v>2024</v>
      </c>
      <c r="O17">
        <f t="shared" si="1"/>
        <v>4</v>
      </c>
      <c r="P17" t="str">
        <f t="shared" si="2"/>
        <v>2024-04</v>
      </c>
    </row>
    <row r="18" spans="1:16" ht="14.4" x14ac:dyDescent="0.3">
      <c r="A18" s="5">
        <v>45410</v>
      </c>
      <c r="B18" s="4" t="s">
        <v>70</v>
      </c>
      <c r="C18" s="4" t="s">
        <v>71</v>
      </c>
      <c r="D18" s="4" t="s">
        <v>40</v>
      </c>
      <c r="E18" s="4" t="s">
        <v>41</v>
      </c>
      <c r="F18" s="4" t="s">
        <v>42</v>
      </c>
      <c r="G18" s="4">
        <v>4</v>
      </c>
      <c r="H18" s="4">
        <v>149.99</v>
      </c>
      <c r="I18" s="4" t="s">
        <v>50</v>
      </c>
      <c r="J18" s="4" t="s">
        <v>37</v>
      </c>
      <c r="K18" s="4" t="s">
        <v>26</v>
      </c>
      <c r="L18" s="5">
        <v>45374</v>
      </c>
      <c r="M18" s="4">
        <v>599.96</v>
      </c>
      <c r="N18">
        <f t="shared" si="0"/>
        <v>2024</v>
      </c>
      <c r="O18">
        <f t="shared" si="1"/>
        <v>4</v>
      </c>
      <c r="P18" t="str">
        <f t="shared" si="2"/>
        <v>2024-04</v>
      </c>
    </row>
    <row r="19" spans="1:16" ht="14.4" x14ac:dyDescent="0.3">
      <c r="A19" s="5">
        <v>45410</v>
      </c>
      <c r="B19" s="4" t="s">
        <v>72</v>
      </c>
      <c r="C19" s="4" t="s">
        <v>73</v>
      </c>
      <c r="D19" s="4" t="s">
        <v>66</v>
      </c>
      <c r="E19" s="4" t="s">
        <v>67</v>
      </c>
      <c r="F19" s="4" t="s">
        <v>19</v>
      </c>
      <c r="G19" s="4">
        <v>2</v>
      </c>
      <c r="H19" s="4">
        <v>699.99</v>
      </c>
      <c r="I19" s="4" t="s">
        <v>20</v>
      </c>
      <c r="J19" s="4" t="s">
        <v>37</v>
      </c>
      <c r="K19" s="4" t="s">
        <v>22</v>
      </c>
      <c r="L19" s="5">
        <v>44781</v>
      </c>
      <c r="M19" s="4">
        <v>1399.98</v>
      </c>
      <c r="N19">
        <f t="shared" si="0"/>
        <v>2024</v>
      </c>
      <c r="O19">
        <f t="shared" si="1"/>
        <v>4</v>
      </c>
      <c r="P19" t="str">
        <f t="shared" si="2"/>
        <v>2024-04</v>
      </c>
    </row>
    <row r="20" spans="1:16" ht="14.4" x14ac:dyDescent="0.3">
      <c r="A20" s="5">
        <v>45410</v>
      </c>
      <c r="B20" s="4" t="s">
        <v>70</v>
      </c>
      <c r="C20" s="4" t="s">
        <v>71</v>
      </c>
      <c r="D20" s="4" t="s">
        <v>53</v>
      </c>
      <c r="E20" s="4" t="s">
        <v>54</v>
      </c>
      <c r="F20" s="4" t="s">
        <v>19</v>
      </c>
      <c r="G20" s="4">
        <v>4</v>
      </c>
      <c r="H20" s="4">
        <v>899.99</v>
      </c>
      <c r="I20" s="4" t="s">
        <v>25</v>
      </c>
      <c r="J20" s="4" t="s">
        <v>45</v>
      </c>
      <c r="K20" s="4" t="s">
        <v>34</v>
      </c>
      <c r="L20" s="5">
        <v>45327</v>
      </c>
      <c r="M20" s="4">
        <v>3599.96</v>
      </c>
      <c r="N20">
        <f t="shared" si="0"/>
        <v>2024</v>
      </c>
      <c r="O20">
        <f t="shared" si="1"/>
        <v>4</v>
      </c>
      <c r="P20" t="str">
        <f t="shared" si="2"/>
        <v>2024-04</v>
      </c>
    </row>
    <row r="21" spans="1:16" ht="15.75" customHeight="1" x14ac:dyDescent="0.3">
      <c r="A21" s="5">
        <v>45410</v>
      </c>
      <c r="B21" s="4" t="s">
        <v>74</v>
      </c>
      <c r="C21" s="4" t="s">
        <v>75</v>
      </c>
      <c r="D21" s="4" t="s">
        <v>17</v>
      </c>
      <c r="E21" s="4" t="s">
        <v>18</v>
      </c>
      <c r="F21" s="4" t="s">
        <v>19</v>
      </c>
      <c r="G21" s="4">
        <v>3</v>
      </c>
      <c r="H21" s="4">
        <v>249.99</v>
      </c>
      <c r="I21" s="4" t="s">
        <v>25</v>
      </c>
      <c r="J21" s="4" t="s">
        <v>37</v>
      </c>
      <c r="K21" s="4" t="s">
        <v>26</v>
      </c>
      <c r="L21" s="5">
        <v>45224</v>
      </c>
      <c r="M21" s="4">
        <v>749.97</v>
      </c>
      <c r="N21">
        <f t="shared" si="0"/>
        <v>2024</v>
      </c>
      <c r="O21">
        <f t="shared" si="1"/>
        <v>4</v>
      </c>
      <c r="P21" t="str">
        <f t="shared" si="2"/>
        <v>2024-04</v>
      </c>
    </row>
    <row r="22" spans="1:16" ht="15.75" customHeight="1" x14ac:dyDescent="0.3">
      <c r="A22" s="5">
        <v>45412</v>
      </c>
      <c r="B22" s="4" t="s">
        <v>76</v>
      </c>
      <c r="C22" s="4" t="s">
        <v>77</v>
      </c>
      <c r="D22" s="4" t="s">
        <v>66</v>
      </c>
      <c r="E22" s="4" t="s">
        <v>67</v>
      </c>
      <c r="F22" s="4" t="s">
        <v>19</v>
      </c>
      <c r="G22" s="4">
        <v>5</v>
      </c>
      <c r="H22" s="4">
        <v>699.99</v>
      </c>
      <c r="I22" s="4" t="s">
        <v>20</v>
      </c>
      <c r="J22" s="4" t="s">
        <v>45</v>
      </c>
      <c r="K22" s="4" t="s">
        <v>22</v>
      </c>
      <c r="L22" s="5">
        <v>45167</v>
      </c>
      <c r="M22" s="4">
        <v>3499.95</v>
      </c>
      <c r="N22">
        <f t="shared" si="0"/>
        <v>2024</v>
      </c>
      <c r="O22">
        <f t="shared" si="1"/>
        <v>4</v>
      </c>
      <c r="P22" t="str">
        <f t="shared" si="2"/>
        <v>2024-04</v>
      </c>
    </row>
    <row r="23" spans="1:16" ht="15.75" customHeight="1" x14ac:dyDescent="0.3">
      <c r="A23" s="5">
        <v>45413</v>
      </c>
      <c r="B23" s="4" t="s">
        <v>78</v>
      </c>
      <c r="C23" s="4" t="s">
        <v>79</v>
      </c>
      <c r="D23" s="4" t="s">
        <v>66</v>
      </c>
      <c r="E23" s="4" t="s">
        <v>67</v>
      </c>
      <c r="F23" s="4" t="s">
        <v>19</v>
      </c>
      <c r="G23" s="4">
        <v>4</v>
      </c>
      <c r="H23" s="4">
        <v>699.99</v>
      </c>
      <c r="I23" s="4" t="s">
        <v>20</v>
      </c>
      <c r="J23" s="4" t="s">
        <v>55</v>
      </c>
      <c r="K23" s="4" t="s">
        <v>34</v>
      </c>
      <c r="L23" s="5">
        <v>44409</v>
      </c>
      <c r="M23" s="4">
        <v>2799.96</v>
      </c>
      <c r="N23">
        <f t="shared" si="0"/>
        <v>2024</v>
      </c>
      <c r="O23">
        <f t="shared" si="1"/>
        <v>5</v>
      </c>
      <c r="P23" t="str">
        <f t="shared" si="2"/>
        <v>2024-05</v>
      </c>
    </row>
    <row r="24" spans="1:16" ht="15.75" customHeight="1" x14ac:dyDescent="0.3">
      <c r="A24" s="5">
        <v>45415</v>
      </c>
      <c r="B24" s="4" t="s">
        <v>80</v>
      </c>
      <c r="C24" s="4" t="s">
        <v>81</v>
      </c>
      <c r="D24" s="4" t="s">
        <v>17</v>
      </c>
      <c r="E24" s="4" t="s">
        <v>18</v>
      </c>
      <c r="F24" s="4" t="s">
        <v>19</v>
      </c>
      <c r="G24" s="4">
        <v>4</v>
      </c>
      <c r="H24" s="4">
        <v>249.99</v>
      </c>
      <c r="I24" s="4" t="s">
        <v>32</v>
      </c>
      <c r="J24" s="4" t="s">
        <v>37</v>
      </c>
      <c r="K24" s="4" t="s">
        <v>34</v>
      </c>
      <c r="L24" s="5">
        <v>44468</v>
      </c>
      <c r="M24" s="4">
        <v>999.96</v>
      </c>
      <c r="N24">
        <f t="shared" si="0"/>
        <v>2024</v>
      </c>
      <c r="O24">
        <f t="shared" si="1"/>
        <v>5</v>
      </c>
      <c r="P24" t="str">
        <f t="shared" si="2"/>
        <v>2024-05</v>
      </c>
    </row>
    <row r="25" spans="1:16" ht="15.75" customHeight="1" x14ac:dyDescent="0.3">
      <c r="A25" s="5">
        <v>45416</v>
      </c>
      <c r="B25" s="4" t="s">
        <v>70</v>
      </c>
      <c r="C25" s="4" t="s">
        <v>71</v>
      </c>
      <c r="D25" s="4" t="s">
        <v>82</v>
      </c>
      <c r="E25" s="4" t="s">
        <v>83</v>
      </c>
      <c r="F25" s="4" t="s">
        <v>42</v>
      </c>
      <c r="G25" s="4">
        <v>4</v>
      </c>
      <c r="H25" s="4">
        <v>299.99</v>
      </c>
      <c r="I25" s="4" t="s">
        <v>20</v>
      </c>
      <c r="J25" s="4" t="s">
        <v>45</v>
      </c>
      <c r="K25" s="4" t="s">
        <v>26</v>
      </c>
      <c r="L25" s="5">
        <v>44716</v>
      </c>
      <c r="M25" s="4">
        <v>1199.96</v>
      </c>
      <c r="N25">
        <f t="shared" si="0"/>
        <v>2024</v>
      </c>
      <c r="O25">
        <f t="shared" si="1"/>
        <v>5</v>
      </c>
      <c r="P25" t="str">
        <f t="shared" si="2"/>
        <v>2024-05</v>
      </c>
    </row>
    <row r="26" spans="1:16" ht="15.75" customHeight="1" x14ac:dyDescent="0.3">
      <c r="A26" s="5">
        <v>45422</v>
      </c>
      <c r="B26" s="4" t="s">
        <v>84</v>
      </c>
      <c r="C26" s="4" t="s">
        <v>85</v>
      </c>
      <c r="D26" s="4" t="s">
        <v>17</v>
      </c>
      <c r="E26" s="4" t="s">
        <v>18</v>
      </c>
      <c r="F26" s="4" t="s">
        <v>19</v>
      </c>
      <c r="G26" s="4">
        <v>5</v>
      </c>
      <c r="H26" s="4">
        <v>249.99</v>
      </c>
      <c r="I26" s="4" t="s">
        <v>25</v>
      </c>
      <c r="J26" s="4" t="s">
        <v>45</v>
      </c>
      <c r="K26" s="4" t="s">
        <v>34</v>
      </c>
      <c r="L26" s="5">
        <v>44525</v>
      </c>
      <c r="M26" s="4">
        <v>1249.95</v>
      </c>
      <c r="N26">
        <f t="shared" si="0"/>
        <v>2024</v>
      </c>
      <c r="O26">
        <f t="shared" si="1"/>
        <v>5</v>
      </c>
      <c r="P26" t="str">
        <f t="shared" si="2"/>
        <v>2024-05</v>
      </c>
    </row>
    <row r="27" spans="1:16" ht="15.75" customHeight="1" x14ac:dyDescent="0.3">
      <c r="A27" s="5">
        <v>45424</v>
      </c>
      <c r="B27" s="4" t="s">
        <v>58</v>
      </c>
      <c r="C27" s="4" t="s">
        <v>59</v>
      </c>
      <c r="D27" s="4" t="s">
        <v>82</v>
      </c>
      <c r="E27" s="4" t="s">
        <v>83</v>
      </c>
      <c r="F27" s="4" t="s">
        <v>42</v>
      </c>
      <c r="G27" s="4">
        <v>5</v>
      </c>
      <c r="H27" s="4">
        <v>299.99</v>
      </c>
      <c r="I27" s="4" t="s">
        <v>32</v>
      </c>
      <c r="J27" s="4" t="s">
        <v>55</v>
      </c>
      <c r="K27" s="4" t="s">
        <v>22</v>
      </c>
      <c r="L27" s="5">
        <v>45168</v>
      </c>
      <c r="M27" s="4">
        <v>1499.95</v>
      </c>
      <c r="N27">
        <f t="shared" si="0"/>
        <v>2024</v>
      </c>
      <c r="O27">
        <f t="shared" si="1"/>
        <v>5</v>
      </c>
      <c r="P27" t="str">
        <f t="shared" si="2"/>
        <v>2024-05</v>
      </c>
    </row>
    <row r="28" spans="1:16" ht="15.75" customHeight="1" x14ac:dyDescent="0.3">
      <c r="A28" s="5">
        <v>45424</v>
      </c>
      <c r="B28" s="4" t="s">
        <v>86</v>
      </c>
      <c r="C28" s="4" t="s">
        <v>87</v>
      </c>
      <c r="D28" s="4" t="s">
        <v>88</v>
      </c>
      <c r="E28" s="4" t="s">
        <v>89</v>
      </c>
      <c r="F28" s="4" t="s">
        <v>31</v>
      </c>
      <c r="G28" s="4">
        <v>3</v>
      </c>
      <c r="H28" s="4">
        <v>79.989999999999995</v>
      </c>
      <c r="I28" s="4" t="s">
        <v>32</v>
      </c>
      <c r="J28" s="4" t="s">
        <v>55</v>
      </c>
      <c r="K28" s="4" t="s">
        <v>26</v>
      </c>
      <c r="L28" s="5">
        <v>45012</v>
      </c>
      <c r="M28" s="4">
        <v>239.97</v>
      </c>
      <c r="N28">
        <f t="shared" si="0"/>
        <v>2024</v>
      </c>
      <c r="O28">
        <f t="shared" si="1"/>
        <v>5</v>
      </c>
      <c r="P28" t="str">
        <f t="shared" si="2"/>
        <v>2024-05</v>
      </c>
    </row>
    <row r="29" spans="1:16" ht="15.75" customHeight="1" x14ac:dyDescent="0.3">
      <c r="A29" s="5">
        <v>45424</v>
      </c>
      <c r="B29" s="4" t="s">
        <v>78</v>
      </c>
      <c r="C29" s="4" t="s">
        <v>79</v>
      </c>
      <c r="D29" s="4" t="s">
        <v>90</v>
      </c>
      <c r="E29" s="4" t="s">
        <v>91</v>
      </c>
      <c r="F29" s="4" t="s">
        <v>19</v>
      </c>
      <c r="G29" s="4">
        <v>5</v>
      </c>
      <c r="H29" s="4">
        <v>89.99</v>
      </c>
      <c r="I29" s="4" t="s">
        <v>20</v>
      </c>
      <c r="J29" s="4" t="s">
        <v>37</v>
      </c>
      <c r="K29" s="4" t="s">
        <v>26</v>
      </c>
      <c r="L29" s="5">
        <v>44919</v>
      </c>
      <c r="M29" s="4">
        <v>449.95</v>
      </c>
      <c r="N29">
        <f t="shared" si="0"/>
        <v>2024</v>
      </c>
      <c r="O29">
        <f t="shared" si="1"/>
        <v>5</v>
      </c>
      <c r="P29" t="str">
        <f t="shared" si="2"/>
        <v>2024-05</v>
      </c>
    </row>
    <row r="30" spans="1:16" ht="15.75" customHeight="1" x14ac:dyDescent="0.3">
      <c r="A30" s="5">
        <v>45425</v>
      </c>
      <c r="B30" s="4" t="s">
        <v>92</v>
      </c>
      <c r="C30" s="4" t="s">
        <v>93</v>
      </c>
      <c r="D30" s="4" t="s">
        <v>29</v>
      </c>
      <c r="E30" s="4" t="s">
        <v>30</v>
      </c>
      <c r="F30" s="4" t="s">
        <v>31</v>
      </c>
      <c r="G30" s="4">
        <v>2</v>
      </c>
      <c r="H30" s="4">
        <v>59.99</v>
      </c>
      <c r="I30" s="4" t="s">
        <v>50</v>
      </c>
      <c r="J30" s="4" t="s">
        <v>21</v>
      </c>
      <c r="K30" s="4" t="s">
        <v>34</v>
      </c>
      <c r="L30" s="5">
        <v>45214</v>
      </c>
      <c r="M30" s="4">
        <v>119.98</v>
      </c>
      <c r="N30">
        <f t="shared" si="0"/>
        <v>2024</v>
      </c>
      <c r="O30">
        <f t="shared" si="1"/>
        <v>5</v>
      </c>
      <c r="P30" t="str">
        <f t="shared" si="2"/>
        <v>2024-05</v>
      </c>
    </row>
    <row r="31" spans="1:16" ht="15.75" customHeight="1" x14ac:dyDescent="0.3">
      <c r="A31" s="5">
        <v>45427</v>
      </c>
      <c r="B31" s="4" t="s">
        <v>94</v>
      </c>
      <c r="C31" s="4" t="s">
        <v>95</v>
      </c>
      <c r="D31" s="4" t="s">
        <v>29</v>
      </c>
      <c r="E31" s="4" t="s">
        <v>30</v>
      </c>
      <c r="F31" s="4" t="s">
        <v>31</v>
      </c>
      <c r="G31" s="4">
        <v>4</v>
      </c>
      <c r="H31" s="4">
        <v>59.99</v>
      </c>
      <c r="I31" s="4" t="s">
        <v>50</v>
      </c>
      <c r="J31" s="4" t="s">
        <v>55</v>
      </c>
      <c r="K31" s="4" t="s">
        <v>34</v>
      </c>
      <c r="L31" s="5">
        <v>44867</v>
      </c>
      <c r="M31" s="4">
        <v>239.96</v>
      </c>
      <c r="N31">
        <f t="shared" si="0"/>
        <v>2024</v>
      </c>
      <c r="O31">
        <f t="shared" si="1"/>
        <v>5</v>
      </c>
      <c r="P31" t="str">
        <f t="shared" si="2"/>
        <v>2024-05</v>
      </c>
    </row>
    <row r="32" spans="1:16" ht="15.75" customHeight="1" x14ac:dyDescent="0.3">
      <c r="A32" s="5">
        <v>45427</v>
      </c>
      <c r="B32" s="4" t="s">
        <v>48</v>
      </c>
      <c r="C32" s="4" t="s">
        <v>49</v>
      </c>
      <c r="D32" s="4" t="s">
        <v>96</v>
      </c>
      <c r="E32" s="4" t="s">
        <v>97</v>
      </c>
      <c r="F32" s="4" t="s">
        <v>42</v>
      </c>
      <c r="G32" s="4">
        <v>5</v>
      </c>
      <c r="H32" s="4">
        <v>199.99</v>
      </c>
      <c r="I32" s="4" t="s">
        <v>20</v>
      </c>
      <c r="J32" s="4" t="s">
        <v>33</v>
      </c>
      <c r="K32" s="4" t="s">
        <v>34</v>
      </c>
      <c r="L32" s="5">
        <v>44412</v>
      </c>
      <c r="M32" s="4">
        <v>999.95</v>
      </c>
      <c r="N32">
        <f t="shared" si="0"/>
        <v>2024</v>
      </c>
      <c r="O32">
        <f t="shared" si="1"/>
        <v>5</v>
      </c>
      <c r="P32" t="str">
        <f t="shared" si="2"/>
        <v>2024-05</v>
      </c>
    </row>
    <row r="33" spans="1:16" ht="15.75" customHeight="1" x14ac:dyDescent="0.3">
      <c r="A33" s="5">
        <v>45428</v>
      </c>
      <c r="B33" s="4" t="s">
        <v>98</v>
      </c>
      <c r="C33" s="4" t="s">
        <v>99</v>
      </c>
      <c r="D33" s="4" t="s">
        <v>40</v>
      </c>
      <c r="E33" s="4" t="s">
        <v>41</v>
      </c>
      <c r="F33" s="4" t="s">
        <v>42</v>
      </c>
      <c r="G33" s="4">
        <v>2</v>
      </c>
      <c r="H33" s="4">
        <v>149.99</v>
      </c>
      <c r="I33" s="4" t="s">
        <v>25</v>
      </c>
      <c r="J33" s="4" t="s">
        <v>45</v>
      </c>
      <c r="K33" s="4" t="s">
        <v>22</v>
      </c>
      <c r="L33" s="5">
        <v>44823</v>
      </c>
      <c r="M33" s="4">
        <v>299.98</v>
      </c>
      <c r="N33">
        <f t="shared" si="0"/>
        <v>2024</v>
      </c>
      <c r="O33">
        <f t="shared" si="1"/>
        <v>5</v>
      </c>
      <c r="P33" t="str">
        <f t="shared" si="2"/>
        <v>2024-05</v>
      </c>
    </row>
    <row r="34" spans="1:16" ht="15.75" customHeight="1" x14ac:dyDescent="0.3">
      <c r="A34" s="5">
        <v>45430</v>
      </c>
      <c r="B34" s="4" t="s">
        <v>100</v>
      </c>
      <c r="C34" s="4" t="s">
        <v>101</v>
      </c>
      <c r="D34" s="4" t="s">
        <v>40</v>
      </c>
      <c r="E34" s="4" t="s">
        <v>41</v>
      </c>
      <c r="F34" s="4" t="s">
        <v>42</v>
      </c>
      <c r="G34" s="4">
        <v>3</v>
      </c>
      <c r="H34" s="4">
        <v>149.99</v>
      </c>
      <c r="I34" s="4" t="s">
        <v>25</v>
      </c>
      <c r="J34" s="4" t="s">
        <v>45</v>
      </c>
      <c r="K34" s="4" t="s">
        <v>26</v>
      </c>
      <c r="L34" s="5">
        <v>45068</v>
      </c>
      <c r="M34" s="4">
        <v>449.97</v>
      </c>
      <c r="N34">
        <f t="shared" si="0"/>
        <v>2024</v>
      </c>
      <c r="O34">
        <f t="shared" si="1"/>
        <v>5</v>
      </c>
      <c r="P34" t="str">
        <f t="shared" si="2"/>
        <v>2024-05</v>
      </c>
    </row>
    <row r="35" spans="1:16" ht="15.75" customHeight="1" x14ac:dyDescent="0.3">
      <c r="A35" s="5">
        <v>45432</v>
      </c>
      <c r="B35" s="4" t="s">
        <v>27</v>
      </c>
      <c r="C35" s="4" t="s">
        <v>28</v>
      </c>
      <c r="D35" s="4" t="s">
        <v>53</v>
      </c>
      <c r="E35" s="4" t="s">
        <v>54</v>
      </c>
      <c r="F35" s="4" t="s">
        <v>19</v>
      </c>
      <c r="G35" s="4">
        <v>1</v>
      </c>
      <c r="H35" s="4">
        <v>899.99</v>
      </c>
      <c r="I35" s="4" t="s">
        <v>25</v>
      </c>
      <c r="J35" s="4" t="s">
        <v>45</v>
      </c>
      <c r="K35" s="4" t="s">
        <v>26</v>
      </c>
      <c r="L35" s="5">
        <v>44578</v>
      </c>
      <c r="M35" s="4">
        <v>899.99</v>
      </c>
      <c r="N35">
        <f t="shared" si="0"/>
        <v>2024</v>
      </c>
      <c r="O35">
        <f t="shared" si="1"/>
        <v>5</v>
      </c>
      <c r="P35" t="str">
        <f t="shared" si="2"/>
        <v>2024-05</v>
      </c>
    </row>
    <row r="36" spans="1:16" ht="15.75" customHeight="1" x14ac:dyDescent="0.3">
      <c r="A36" s="5">
        <v>45434</v>
      </c>
      <c r="B36" s="4" t="s">
        <v>78</v>
      </c>
      <c r="C36" s="4" t="s">
        <v>79</v>
      </c>
      <c r="D36" s="4" t="s">
        <v>82</v>
      </c>
      <c r="E36" s="4" t="s">
        <v>83</v>
      </c>
      <c r="F36" s="4" t="s">
        <v>42</v>
      </c>
      <c r="G36" s="4">
        <v>3</v>
      </c>
      <c r="H36" s="4">
        <v>299.99</v>
      </c>
      <c r="I36" s="4" t="s">
        <v>25</v>
      </c>
      <c r="J36" s="4" t="s">
        <v>55</v>
      </c>
      <c r="K36" s="4" t="s">
        <v>22</v>
      </c>
      <c r="L36" s="5">
        <v>44824</v>
      </c>
      <c r="M36" s="4">
        <v>899.97</v>
      </c>
      <c r="N36">
        <f t="shared" si="0"/>
        <v>2024</v>
      </c>
      <c r="O36">
        <f t="shared" si="1"/>
        <v>5</v>
      </c>
      <c r="P36" t="str">
        <f t="shared" si="2"/>
        <v>2024-05</v>
      </c>
    </row>
    <row r="37" spans="1:16" ht="15.75" customHeight="1" x14ac:dyDescent="0.3">
      <c r="A37" s="5">
        <v>45435</v>
      </c>
      <c r="B37" s="4" t="s">
        <v>98</v>
      </c>
      <c r="C37" s="4" t="s">
        <v>99</v>
      </c>
      <c r="D37" s="4" t="s">
        <v>88</v>
      </c>
      <c r="E37" s="4" t="s">
        <v>89</v>
      </c>
      <c r="F37" s="4" t="s">
        <v>31</v>
      </c>
      <c r="G37" s="4">
        <v>3</v>
      </c>
      <c r="H37" s="4">
        <v>79.989999999999995</v>
      </c>
      <c r="I37" s="4" t="s">
        <v>20</v>
      </c>
      <c r="J37" s="4" t="s">
        <v>33</v>
      </c>
      <c r="K37" s="4" t="s">
        <v>22</v>
      </c>
      <c r="L37" s="5">
        <v>45046</v>
      </c>
      <c r="M37" s="4">
        <v>239.97</v>
      </c>
      <c r="N37">
        <f t="shared" si="0"/>
        <v>2024</v>
      </c>
      <c r="O37">
        <f t="shared" si="1"/>
        <v>5</v>
      </c>
      <c r="P37" t="str">
        <f t="shared" si="2"/>
        <v>2024-05</v>
      </c>
    </row>
    <row r="38" spans="1:16" ht="15.75" customHeight="1" x14ac:dyDescent="0.3">
      <c r="A38" s="5">
        <v>45438</v>
      </c>
      <c r="B38" s="4" t="s">
        <v>102</v>
      </c>
      <c r="C38" s="4" t="s">
        <v>103</v>
      </c>
      <c r="D38" s="4" t="s">
        <v>96</v>
      </c>
      <c r="E38" s="4" t="s">
        <v>97</v>
      </c>
      <c r="F38" s="4" t="s">
        <v>42</v>
      </c>
      <c r="G38" s="4">
        <v>3</v>
      </c>
      <c r="H38" s="4">
        <v>199.99</v>
      </c>
      <c r="I38" s="4" t="s">
        <v>25</v>
      </c>
      <c r="J38" s="4" t="s">
        <v>37</v>
      </c>
      <c r="K38" s="4" t="s">
        <v>26</v>
      </c>
      <c r="L38" s="5">
        <v>45292</v>
      </c>
      <c r="M38" s="4">
        <v>599.97</v>
      </c>
      <c r="N38">
        <f t="shared" si="0"/>
        <v>2024</v>
      </c>
      <c r="O38">
        <f t="shared" si="1"/>
        <v>5</v>
      </c>
      <c r="P38" t="str">
        <f t="shared" si="2"/>
        <v>2024-05</v>
      </c>
    </row>
    <row r="39" spans="1:16" ht="15.75" customHeight="1" x14ac:dyDescent="0.3">
      <c r="A39" s="5">
        <v>45440</v>
      </c>
      <c r="B39" s="4" t="s">
        <v>104</v>
      </c>
      <c r="C39" s="4" t="s">
        <v>105</v>
      </c>
      <c r="D39" s="4" t="s">
        <v>66</v>
      </c>
      <c r="E39" s="4" t="s">
        <v>67</v>
      </c>
      <c r="F39" s="4" t="s">
        <v>19</v>
      </c>
      <c r="G39" s="4">
        <v>5</v>
      </c>
      <c r="H39" s="4">
        <v>699.99</v>
      </c>
      <c r="I39" s="4" t="s">
        <v>32</v>
      </c>
      <c r="J39" s="4" t="s">
        <v>45</v>
      </c>
      <c r="K39" s="4" t="s">
        <v>34</v>
      </c>
      <c r="L39" s="5">
        <v>44407</v>
      </c>
      <c r="M39" s="4">
        <v>3499.95</v>
      </c>
      <c r="N39">
        <f t="shared" si="0"/>
        <v>2024</v>
      </c>
      <c r="O39">
        <f t="shared" si="1"/>
        <v>5</v>
      </c>
      <c r="P39" t="str">
        <f t="shared" si="2"/>
        <v>2024-05</v>
      </c>
    </row>
    <row r="40" spans="1:16" ht="15.75" customHeight="1" x14ac:dyDescent="0.3">
      <c r="A40" s="5">
        <v>45441</v>
      </c>
      <c r="B40" s="4" t="s">
        <v>106</v>
      </c>
      <c r="C40" s="4" t="s">
        <v>107</v>
      </c>
      <c r="D40" s="4" t="s">
        <v>90</v>
      </c>
      <c r="E40" s="4" t="s">
        <v>91</v>
      </c>
      <c r="F40" s="4" t="s">
        <v>19</v>
      </c>
      <c r="G40" s="4">
        <v>3</v>
      </c>
      <c r="H40" s="4">
        <v>89.99</v>
      </c>
      <c r="I40" s="4" t="s">
        <v>32</v>
      </c>
      <c r="J40" s="4" t="s">
        <v>21</v>
      </c>
      <c r="K40" s="4" t="s">
        <v>26</v>
      </c>
      <c r="L40" s="5">
        <v>45120</v>
      </c>
      <c r="M40" s="4">
        <v>269.97000000000003</v>
      </c>
      <c r="N40">
        <f t="shared" si="0"/>
        <v>2024</v>
      </c>
      <c r="O40">
        <f t="shared" si="1"/>
        <v>5</v>
      </c>
      <c r="P40" t="str">
        <f t="shared" si="2"/>
        <v>2024-05</v>
      </c>
    </row>
    <row r="41" spans="1:16" ht="15.75" customHeight="1" x14ac:dyDescent="0.3">
      <c r="A41" s="5">
        <v>45443</v>
      </c>
      <c r="B41" s="4" t="s">
        <v>108</v>
      </c>
      <c r="C41" s="4" t="s">
        <v>109</v>
      </c>
      <c r="D41" s="4" t="s">
        <v>88</v>
      </c>
      <c r="E41" s="4" t="s">
        <v>89</v>
      </c>
      <c r="F41" s="4" t="s">
        <v>31</v>
      </c>
      <c r="G41" s="4">
        <v>1</v>
      </c>
      <c r="H41" s="4">
        <v>79.989999999999995</v>
      </c>
      <c r="I41" s="4" t="s">
        <v>20</v>
      </c>
      <c r="J41" s="4" t="s">
        <v>37</v>
      </c>
      <c r="K41" s="4" t="s">
        <v>34</v>
      </c>
      <c r="L41" s="5">
        <v>44917</v>
      </c>
      <c r="M41" s="4">
        <v>79.989999999999995</v>
      </c>
      <c r="N41">
        <f t="shared" si="0"/>
        <v>2024</v>
      </c>
      <c r="O41">
        <f t="shared" si="1"/>
        <v>5</v>
      </c>
      <c r="P41" t="str">
        <f t="shared" si="2"/>
        <v>2024-05</v>
      </c>
    </row>
    <row r="42" spans="1:16" ht="15.75" customHeight="1" x14ac:dyDescent="0.3">
      <c r="A42" s="5">
        <v>45444</v>
      </c>
      <c r="B42" s="4" t="s">
        <v>110</v>
      </c>
      <c r="C42" s="4" t="s">
        <v>111</v>
      </c>
      <c r="D42" s="4" t="s">
        <v>29</v>
      </c>
      <c r="E42" s="4" t="s">
        <v>30</v>
      </c>
      <c r="F42" s="4" t="s">
        <v>31</v>
      </c>
      <c r="G42" s="4">
        <v>2</v>
      </c>
      <c r="H42" s="4">
        <v>59.99</v>
      </c>
      <c r="I42" s="4" t="s">
        <v>20</v>
      </c>
      <c r="J42" s="4" t="s">
        <v>45</v>
      </c>
      <c r="K42" s="4" t="s">
        <v>22</v>
      </c>
      <c r="L42" s="5">
        <v>45390</v>
      </c>
      <c r="M42" s="4">
        <v>119.98</v>
      </c>
      <c r="N42">
        <f t="shared" si="0"/>
        <v>2024</v>
      </c>
      <c r="O42">
        <f t="shared" si="1"/>
        <v>6</v>
      </c>
      <c r="P42" t="str">
        <f t="shared" si="2"/>
        <v>2024-06</v>
      </c>
    </row>
    <row r="43" spans="1:16" ht="15.75" customHeight="1" x14ac:dyDescent="0.3">
      <c r="A43" s="5">
        <v>45444</v>
      </c>
      <c r="B43" s="4" t="s">
        <v>48</v>
      </c>
      <c r="C43" s="4" t="s">
        <v>49</v>
      </c>
      <c r="D43" s="4" t="s">
        <v>90</v>
      </c>
      <c r="E43" s="4" t="s">
        <v>91</v>
      </c>
      <c r="F43" s="4" t="s">
        <v>19</v>
      </c>
      <c r="G43" s="4">
        <v>1</v>
      </c>
      <c r="H43" s="4">
        <v>89.99</v>
      </c>
      <c r="I43" s="4" t="s">
        <v>20</v>
      </c>
      <c r="J43" s="4" t="s">
        <v>37</v>
      </c>
      <c r="K43" s="4" t="s">
        <v>22</v>
      </c>
      <c r="L43" s="5">
        <v>45141</v>
      </c>
      <c r="M43" s="4">
        <v>89.99</v>
      </c>
      <c r="N43">
        <f t="shared" si="0"/>
        <v>2024</v>
      </c>
      <c r="O43">
        <f t="shared" si="1"/>
        <v>6</v>
      </c>
      <c r="P43" t="str">
        <f t="shared" si="2"/>
        <v>2024-06</v>
      </c>
    </row>
    <row r="44" spans="1:16" ht="15.75" customHeight="1" x14ac:dyDescent="0.3">
      <c r="A44" s="5">
        <v>45446</v>
      </c>
      <c r="B44" s="4" t="s">
        <v>112</v>
      </c>
      <c r="C44" s="4" t="s">
        <v>113</v>
      </c>
      <c r="D44" s="4" t="s">
        <v>90</v>
      </c>
      <c r="E44" s="4" t="s">
        <v>91</v>
      </c>
      <c r="F44" s="4" t="s">
        <v>19</v>
      </c>
      <c r="G44" s="4">
        <v>5</v>
      </c>
      <c r="H44" s="4">
        <v>89.99</v>
      </c>
      <c r="I44" s="4" t="s">
        <v>25</v>
      </c>
      <c r="J44" s="4" t="s">
        <v>55</v>
      </c>
      <c r="K44" s="4" t="s">
        <v>34</v>
      </c>
      <c r="L44" s="5">
        <v>44587</v>
      </c>
      <c r="M44" s="4">
        <v>449.95</v>
      </c>
      <c r="N44">
        <f t="shared" si="0"/>
        <v>2024</v>
      </c>
      <c r="O44">
        <f t="shared" si="1"/>
        <v>6</v>
      </c>
      <c r="P44" t="str">
        <f t="shared" si="2"/>
        <v>2024-06</v>
      </c>
    </row>
    <row r="45" spans="1:16" ht="15.75" customHeight="1" x14ac:dyDescent="0.3">
      <c r="A45" s="5">
        <v>45449</v>
      </c>
      <c r="B45" s="4" t="s">
        <v>23</v>
      </c>
      <c r="C45" s="4" t="s">
        <v>24</v>
      </c>
      <c r="D45" s="4" t="s">
        <v>17</v>
      </c>
      <c r="E45" s="4" t="s">
        <v>18</v>
      </c>
      <c r="F45" s="4" t="s">
        <v>19</v>
      </c>
      <c r="G45" s="4">
        <v>5</v>
      </c>
      <c r="H45" s="4">
        <v>249.99</v>
      </c>
      <c r="I45" s="4" t="s">
        <v>25</v>
      </c>
      <c r="J45" s="4" t="s">
        <v>55</v>
      </c>
      <c r="K45" s="4" t="s">
        <v>34</v>
      </c>
      <c r="L45" s="5">
        <v>44707</v>
      </c>
      <c r="M45" s="4">
        <v>1249.95</v>
      </c>
      <c r="N45">
        <f t="shared" si="0"/>
        <v>2024</v>
      </c>
      <c r="O45">
        <f t="shared" si="1"/>
        <v>6</v>
      </c>
      <c r="P45" t="str">
        <f t="shared" si="2"/>
        <v>2024-06</v>
      </c>
    </row>
    <row r="46" spans="1:16" ht="15.75" customHeight="1" x14ac:dyDescent="0.3">
      <c r="A46" s="5">
        <v>45449</v>
      </c>
      <c r="B46" s="4" t="s">
        <v>114</v>
      </c>
      <c r="C46" s="4" t="s">
        <v>115</v>
      </c>
      <c r="D46" s="4" t="s">
        <v>90</v>
      </c>
      <c r="E46" s="4" t="s">
        <v>91</v>
      </c>
      <c r="F46" s="4" t="s">
        <v>19</v>
      </c>
      <c r="G46" s="4">
        <v>1</v>
      </c>
      <c r="H46" s="4">
        <v>89.99</v>
      </c>
      <c r="I46" s="4" t="s">
        <v>25</v>
      </c>
      <c r="J46" s="4" t="s">
        <v>33</v>
      </c>
      <c r="K46" s="4" t="s">
        <v>34</v>
      </c>
      <c r="L46" s="5">
        <v>44582</v>
      </c>
      <c r="M46" s="4">
        <v>89.99</v>
      </c>
      <c r="N46">
        <f t="shared" si="0"/>
        <v>2024</v>
      </c>
      <c r="O46">
        <f t="shared" si="1"/>
        <v>6</v>
      </c>
      <c r="P46" t="str">
        <f t="shared" si="2"/>
        <v>2024-06</v>
      </c>
    </row>
    <row r="47" spans="1:16" ht="15.75" customHeight="1" x14ac:dyDescent="0.3">
      <c r="A47" s="5">
        <v>45450</v>
      </c>
      <c r="B47" s="4" t="s">
        <v>38</v>
      </c>
      <c r="C47" s="4" t="s">
        <v>39</v>
      </c>
      <c r="D47" s="4" t="s">
        <v>40</v>
      </c>
      <c r="E47" s="4" t="s">
        <v>41</v>
      </c>
      <c r="F47" s="4" t="s">
        <v>42</v>
      </c>
      <c r="G47" s="4">
        <v>2</v>
      </c>
      <c r="H47" s="4">
        <v>149.99</v>
      </c>
      <c r="I47" s="4" t="s">
        <v>20</v>
      </c>
      <c r="J47" s="4" t="s">
        <v>55</v>
      </c>
      <c r="K47" s="4" t="s">
        <v>26</v>
      </c>
      <c r="L47" s="5">
        <v>44645</v>
      </c>
      <c r="M47" s="4">
        <v>299.98</v>
      </c>
      <c r="N47">
        <f t="shared" si="0"/>
        <v>2024</v>
      </c>
      <c r="O47">
        <f t="shared" si="1"/>
        <v>6</v>
      </c>
      <c r="P47" t="str">
        <f t="shared" si="2"/>
        <v>2024-06</v>
      </c>
    </row>
    <row r="48" spans="1:16" ht="15.75" customHeight="1" x14ac:dyDescent="0.3">
      <c r="A48" s="5">
        <v>45452</v>
      </c>
      <c r="B48" s="4" t="s">
        <v>116</v>
      </c>
      <c r="C48" s="4" t="s">
        <v>117</v>
      </c>
      <c r="D48" s="4" t="s">
        <v>29</v>
      </c>
      <c r="E48" s="4" t="s">
        <v>30</v>
      </c>
      <c r="F48" s="4" t="s">
        <v>31</v>
      </c>
      <c r="G48" s="4">
        <v>4</v>
      </c>
      <c r="H48" s="4">
        <v>59.99</v>
      </c>
      <c r="I48" s="4" t="s">
        <v>20</v>
      </c>
      <c r="J48" s="4" t="s">
        <v>55</v>
      </c>
      <c r="K48" s="4" t="s">
        <v>34</v>
      </c>
      <c r="L48" s="5">
        <v>44435</v>
      </c>
      <c r="M48" s="4">
        <v>239.96</v>
      </c>
      <c r="N48">
        <f t="shared" si="0"/>
        <v>2024</v>
      </c>
      <c r="O48">
        <f t="shared" si="1"/>
        <v>6</v>
      </c>
      <c r="P48" t="str">
        <f t="shared" si="2"/>
        <v>2024-06</v>
      </c>
    </row>
    <row r="49" spans="1:16" ht="15.75" customHeight="1" x14ac:dyDescent="0.3">
      <c r="A49" s="5">
        <v>45456</v>
      </c>
      <c r="B49" s="4" t="s">
        <v>98</v>
      </c>
      <c r="C49" s="4" t="s">
        <v>99</v>
      </c>
      <c r="D49" s="4" t="s">
        <v>90</v>
      </c>
      <c r="E49" s="4" t="s">
        <v>91</v>
      </c>
      <c r="F49" s="4" t="s">
        <v>19</v>
      </c>
      <c r="G49" s="4">
        <v>5</v>
      </c>
      <c r="H49" s="4">
        <v>89.99</v>
      </c>
      <c r="I49" s="4" t="s">
        <v>20</v>
      </c>
      <c r="J49" s="4" t="s">
        <v>21</v>
      </c>
      <c r="K49" s="4" t="s">
        <v>26</v>
      </c>
      <c r="L49" s="5">
        <v>44579</v>
      </c>
      <c r="M49" s="4">
        <v>449.95</v>
      </c>
      <c r="N49">
        <f t="shared" si="0"/>
        <v>2024</v>
      </c>
      <c r="O49">
        <f t="shared" si="1"/>
        <v>6</v>
      </c>
      <c r="P49" t="str">
        <f t="shared" si="2"/>
        <v>2024-06</v>
      </c>
    </row>
    <row r="50" spans="1:16" ht="15.75" customHeight="1" x14ac:dyDescent="0.3">
      <c r="A50" s="5">
        <v>45459</v>
      </c>
      <c r="B50" s="4" t="s">
        <v>78</v>
      </c>
      <c r="C50" s="4" t="s">
        <v>79</v>
      </c>
      <c r="D50" s="4" t="s">
        <v>90</v>
      </c>
      <c r="E50" s="4" t="s">
        <v>91</v>
      </c>
      <c r="F50" s="4" t="s">
        <v>19</v>
      </c>
      <c r="G50" s="4">
        <v>2</v>
      </c>
      <c r="H50" s="4">
        <v>89.99</v>
      </c>
      <c r="I50" s="4" t="s">
        <v>25</v>
      </c>
      <c r="J50" s="4" t="s">
        <v>33</v>
      </c>
      <c r="K50" s="4" t="s">
        <v>26</v>
      </c>
      <c r="L50" s="5">
        <v>44471</v>
      </c>
      <c r="M50" s="4">
        <v>179.98</v>
      </c>
      <c r="N50">
        <f t="shared" si="0"/>
        <v>2024</v>
      </c>
      <c r="O50">
        <f t="shared" si="1"/>
        <v>6</v>
      </c>
      <c r="P50" t="str">
        <f t="shared" si="2"/>
        <v>2024-06</v>
      </c>
    </row>
    <row r="51" spans="1:16" ht="15.75" customHeight="1" x14ac:dyDescent="0.3">
      <c r="A51" s="5">
        <v>45459</v>
      </c>
      <c r="B51" s="4" t="s">
        <v>15</v>
      </c>
      <c r="C51" s="4" t="s">
        <v>16</v>
      </c>
      <c r="D51" s="4" t="s">
        <v>53</v>
      </c>
      <c r="E51" s="4" t="s">
        <v>54</v>
      </c>
      <c r="F51" s="4" t="s">
        <v>19</v>
      </c>
      <c r="G51" s="4">
        <v>5</v>
      </c>
      <c r="H51" s="4">
        <v>899.99</v>
      </c>
      <c r="I51" s="4" t="s">
        <v>25</v>
      </c>
      <c r="J51" s="4" t="s">
        <v>33</v>
      </c>
      <c r="K51" s="4" t="s">
        <v>34</v>
      </c>
      <c r="L51" s="5">
        <v>44974</v>
      </c>
      <c r="M51" s="4">
        <v>4499.95</v>
      </c>
      <c r="N51">
        <f t="shared" si="0"/>
        <v>2024</v>
      </c>
      <c r="O51">
        <f t="shared" si="1"/>
        <v>6</v>
      </c>
      <c r="P51" t="str">
        <f t="shared" si="2"/>
        <v>2024-06</v>
      </c>
    </row>
    <row r="52" spans="1:16" ht="15.75" customHeight="1" x14ac:dyDescent="0.3">
      <c r="A52" s="5">
        <v>45459</v>
      </c>
      <c r="B52" s="4" t="s">
        <v>94</v>
      </c>
      <c r="C52" s="4" t="s">
        <v>95</v>
      </c>
      <c r="D52" s="4" t="s">
        <v>53</v>
      </c>
      <c r="E52" s="4" t="s">
        <v>54</v>
      </c>
      <c r="F52" s="4" t="s">
        <v>19</v>
      </c>
      <c r="G52" s="4">
        <v>5</v>
      </c>
      <c r="H52" s="4">
        <v>899.99</v>
      </c>
      <c r="I52" s="4" t="s">
        <v>32</v>
      </c>
      <c r="J52" s="4" t="s">
        <v>55</v>
      </c>
      <c r="K52" s="4" t="s">
        <v>26</v>
      </c>
      <c r="L52" s="5">
        <v>45278</v>
      </c>
      <c r="M52" s="4">
        <v>4499.95</v>
      </c>
      <c r="N52">
        <f t="shared" si="0"/>
        <v>2024</v>
      </c>
      <c r="O52">
        <f t="shared" si="1"/>
        <v>6</v>
      </c>
      <c r="P52" t="str">
        <f t="shared" si="2"/>
        <v>2024-06</v>
      </c>
    </row>
    <row r="53" spans="1:16" ht="15.75" customHeight="1" x14ac:dyDescent="0.3">
      <c r="A53" s="5">
        <v>45460</v>
      </c>
      <c r="B53" s="4" t="s">
        <v>114</v>
      </c>
      <c r="C53" s="4" t="s">
        <v>115</v>
      </c>
      <c r="D53" s="4" t="s">
        <v>29</v>
      </c>
      <c r="E53" s="4" t="s">
        <v>30</v>
      </c>
      <c r="F53" s="4" t="s">
        <v>31</v>
      </c>
      <c r="G53" s="4">
        <v>1</v>
      </c>
      <c r="H53" s="4">
        <v>59.99</v>
      </c>
      <c r="I53" s="4" t="s">
        <v>50</v>
      </c>
      <c r="J53" s="4" t="s">
        <v>45</v>
      </c>
      <c r="K53" s="4" t="s">
        <v>26</v>
      </c>
      <c r="L53" s="5">
        <v>45190</v>
      </c>
      <c r="M53" s="4">
        <v>59.99</v>
      </c>
      <c r="N53">
        <f t="shared" si="0"/>
        <v>2024</v>
      </c>
      <c r="O53">
        <f t="shared" si="1"/>
        <v>6</v>
      </c>
      <c r="P53" t="str">
        <f t="shared" si="2"/>
        <v>2024-06</v>
      </c>
    </row>
    <row r="54" spans="1:16" ht="15.75" customHeight="1" x14ac:dyDescent="0.3">
      <c r="A54" s="5">
        <v>45460</v>
      </c>
      <c r="B54" s="4" t="s">
        <v>104</v>
      </c>
      <c r="C54" s="4" t="s">
        <v>105</v>
      </c>
      <c r="D54" s="4" t="s">
        <v>82</v>
      </c>
      <c r="E54" s="4" t="s">
        <v>83</v>
      </c>
      <c r="F54" s="4" t="s">
        <v>42</v>
      </c>
      <c r="G54" s="4">
        <v>2</v>
      </c>
      <c r="H54" s="4">
        <v>299.99</v>
      </c>
      <c r="I54" s="4" t="s">
        <v>50</v>
      </c>
      <c r="J54" s="4" t="s">
        <v>55</v>
      </c>
      <c r="K54" s="4" t="s">
        <v>34</v>
      </c>
      <c r="L54" s="5">
        <v>45253</v>
      </c>
      <c r="M54" s="4">
        <v>599.98</v>
      </c>
      <c r="N54">
        <f t="shared" si="0"/>
        <v>2024</v>
      </c>
      <c r="O54">
        <f t="shared" si="1"/>
        <v>6</v>
      </c>
      <c r="P54" t="str">
        <f t="shared" si="2"/>
        <v>2024-06</v>
      </c>
    </row>
    <row r="55" spans="1:16" ht="15.75" customHeight="1" x14ac:dyDescent="0.3">
      <c r="A55" s="5">
        <v>45468</v>
      </c>
      <c r="B55" s="4" t="s">
        <v>118</v>
      </c>
      <c r="C55" s="4" t="s">
        <v>119</v>
      </c>
      <c r="D55" s="4" t="s">
        <v>90</v>
      </c>
      <c r="E55" s="4" t="s">
        <v>91</v>
      </c>
      <c r="F55" s="4" t="s">
        <v>19</v>
      </c>
      <c r="G55" s="4">
        <v>4</v>
      </c>
      <c r="H55" s="4">
        <v>89.99</v>
      </c>
      <c r="I55" s="4" t="s">
        <v>50</v>
      </c>
      <c r="J55" s="4" t="s">
        <v>33</v>
      </c>
      <c r="K55" s="4" t="s">
        <v>22</v>
      </c>
      <c r="L55" s="5">
        <v>45281</v>
      </c>
      <c r="M55" s="4">
        <v>359.96</v>
      </c>
      <c r="N55">
        <f t="shared" si="0"/>
        <v>2024</v>
      </c>
      <c r="O55">
        <f t="shared" si="1"/>
        <v>6</v>
      </c>
      <c r="P55" t="str">
        <f t="shared" si="2"/>
        <v>2024-06</v>
      </c>
    </row>
    <row r="56" spans="1:16" ht="15.75" customHeight="1" x14ac:dyDescent="0.3">
      <c r="A56" s="5">
        <v>45469</v>
      </c>
      <c r="B56" s="4" t="s">
        <v>27</v>
      </c>
      <c r="C56" s="4" t="s">
        <v>28</v>
      </c>
      <c r="D56" s="4" t="s">
        <v>88</v>
      </c>
      <c r="E56" s="4" t="s">
        <v>89</v>
      </c>
      <c r="F56" s="4" t="s">
        <v>31</v>
      </c>
      <c r="G56" s="4">
        <v>1</v>
      </c>
      <c r="H56" s="4">
        <v>79.989999999999995</v>
      </c>
      <c r="I56" s="4" t="s">
        <v>32</v>
      </c>
      <c r="J56" s="4" t="s">
        <v>21</v>
      </c>
      <c r="K56" s="4" t="s">
        <v>26</v>
      </c>
      <c r="L56" s="5">
        <v>45352</v>
      </c>
      <c r="M56" s="4">
        <v>79.989999999999995</v>
      </c>
      <c r="N56">
        <f t="shared" si="0"/>
        <v>2024</v>
      </c>
      <c r="O56">
        <f t="shared" si="1"/>
        <v>6</v>
      </c>
      <c r="P56" t="str">
        <f t="shared" si="2"/>
        <v>2024-06</v>
      </c>
    </row>
    <row r="57" spans="1:16" ht="15.75" customHeight="1" x14ac:dyDescent="0.3">
      <c r="A57" s="5">
        <v>45469</v>
      </c>
      <c r="B57" s="4" t="s">
        <v>51</v>
      </c>
      <c r="C57" s="4" t="s">
        <v>52</v>
      </c>
      <c r="D57" s="4" t="s">
        <v>90</v>
      </c>
      <c r="E57" s="4" t="s">
        <v>91</v>
      </c>
      <c r="F57" s="4" t="s">
        <v>19</v>
      </c>
      <c r="G57" s="4">
        <v>2</v>
      </c>
      <c r="H57" s="4">
        <v>89.99</v>
      </c>
      <c r="I57" s="4" t="s">
        <v>20</v>
      </c>
      <c r="J57" s="4" t="s">
        <v>45</v>
      </c>
      <c r="K57" s="4" t="s">
        <v>22</v>
      </c>
      <c r="L57" s="5">
        <v>44438</v>
      </c>
      <c r="M57" s="4">
        <v>179.98</v>
      </c>
      <c r="N57">
        <f t="shared" si="0"/>
        <v>2024</v>
      </c>
      <c r="O57">
        <f t="shared" si="1"/>
        <v>6</v>
      </c>
      <c r="P57" t="str">
        <f t="shared" si="2"/>
        <v>2024-06</v>
      </c>
    </row>
    <row r="58" spans="1:16" ht="15.75" customHeight="1" x14ac:dyDescent="0.3">
      <c r="A58" s="5">
        <v>45471</v>
      </c>
      <c r="B58" s="4" t="s">
        <v>35</v>
      </c>
      <c r="C58" s="4" t="s">
        <v>36</v>
      </c>
      <c r="D58" s="4" t="s">
        <v>66</v>
      </c>
      <c r="E58" s="4" t="s">
        <v>67</v>
      </c>
      <c r="F58" s="4" t="s">
        <v>19</v>
      </c>
      <c r="G58" s="4">
        <v>3</v>
      </c>
      <c r="H58" s="4">
        <v>699.99</v>
      </c>
      <c r="I58" s="4" t="s">
        <v>25</v>
      </c>
      <c r="J58" s="4" t="s">
        <v>55</v>
      </c>
      <c r="K58" s="4" t="s">
        <v>26</v>
      </c>
      <c r="L58" s="5">
        <v>45102</v>
      </c>
      <c r="M58" s="4">
        <v>2099.9699999999998</v>
      </c>
      <c r="N58">
        <f t="shared" si="0"/>
        <v>2024</v>
      </c>
      <c r="O58">
        <f t="shared" si="1"/>
        <v>6</v>
      </c>
      <c r="P58" t="str">
        <f t="shared" si="2"/>
        <v>2024-06</v>
      </c>
    </row>
    <row r="59" spans="1:16" ht="15.75" customHeight="1" x14ac:dyDescent="0.3">
      <c r="A59" s="5">
        <v>45471</v>
      </c>
      <c r="B59" s="4" t="s">
        <v>78</v>
      </c>
      <c r="C59" s="4" t="s">
        <v>79</v>
      </c>
      <c r="D59" s="4" t="s">
        <v>53</v>
      </c>
      <c r="E59" s="4" t="s">
        <v>54</v>
      </c>
      <c r="F59" s="4" t="s">
        <v>19</v>
      </c>
      <c r="G59" s="4">
        <v>4</v>
      </c>
      <c r="H59" s="4">
        <v>899.99</v>
      </c>
      <c r="I59" s="4" t="s">
        <v>25</v>
      </c>
      <c r="J59" s="4" t="s">
        <v>55</v>
      </c>
      <c r="K59" s="4" t="s">
        <v>26</v>
      </c>
      <c r="L59" s="5">
        <v>44993</v>
      </c>
      <c r="M59" s="4">
        <v>3599.96</v>
      </c>
      <c r="N59">
        <f t="shared" si="0"/>
        <v>2024</v>
      </c>
      <c r="O59">
        <f t="shared" si="1"/>
        <v>6</v>
      </c>
      <c r="P59" t="str">
        <f t="shared" si="2"/>
        <v>2024-06</v>
      </c>
    </row>
    <row r="60" spans="1:16" ht="15.75" customHeight="1" x14ac:dyDescent="0.3">
      <c r="A60" s="5">
        <v>45472</v>
      </c>
      <c r="B60" s="4" t="s">
        <v>92</v>
      </c>
      <c r="C60" s="4" t="s">
        <v>93</v>
      </c>
      <c r="D60" s="4" t="s">
        <v>40</v>
      </c>
      <c r="E60" s="4" t="s">
        <v>41</v>
      </c>
      <c r="F60" s="4" t="s">
        <v>42</v>
      </c>
      <c r="G60" s="4">
        <v>1</v>
      </c>
      <c r="H60" s="4">
        <v>149.99</v>
      </c>
      <c r="I60" s="4" t="s">
        <v>32</v>
      </c>
      <c r="J60" s="4" t="s">
        <v>55</v>
      </c>
      <c r="K60" s="4" t="s">
        <v>22</v>
      </c>
      <c r="L60" s="5">
        <v>44851</v>
      </c>
      <c r="M60" s="4">
        <v>149.99</v>
      </c>
      <c r="N60">
        <f t="shared" si="0"/>
        <v>2024</v>
      </c>
      <c r="O60">
        <f t="shared" si="1"/>
        <v>6</v>
      </c>
      <c r="P60" t="str">
        <f t="shared" si="2"/>
        <v>2024-06</v>
      </c>
    </row>
    <row r="61" spans="1:16" ht="15.75" customHeight="1" x14ac:dyDescent="0.3">
      <c r="A61" s="5">
        <v>45474</v>
      </c>
      <c r="B61" s="4" t="s">
        <v>100</v>
      </c>
      <c r="C61" s="4" t="s">
        <v>101</v>
      </c>
      <c r="D61" s="4" t="s">
        <v>90</v>
      </c>
      <c r="E61" s="4" t="s">
        <v>91</v>
      </c>
      <c r="F61" s="4" t="s">
        <v>19</v>
      </c>
      <c r="G61" s="4">
        <v>2</v>
      </c>
      <c r="H61" s="4">
        <v>89.99</v>
      </c>
      <c r="I61" s="4" t="s">
        <v>32</v>
      </c>
      <c r="J61" s="4" t="s">
        <v>21</v>
      </c>
      <c r="K61" s="4" t="s">
        <v>26</v>
      </c>
      <c r="L61" s="5">
        <v>45275</v>
      </c>
      <c r="M61" s="4">
        <v>179.98</v>
      </c>
      <c r="N61">
        <f t="shared" si="0"/>
        <v>2024</v>
      </c>
      <c r="O61">
        <f t="shared" si="1"/>
        <v>7</v>
      </c>
      <c r="P61" t="str">
        <f t="shared" si="2"/>
        <v>2024-07</v>
      </c>
    </row>
    <row r="62" spans="1:16" ht="15.75" customHeight="1" x14ac:dyDescent="0.3">
      <c r="A62" s="5">
        <v>45475</v>
      </c>
      <c r="B62" s="4" t="s">
        <v>48</v>
      </c>
      <c r="C62" s="4" t="s">
        <v>49</v>
      </c>
      <c r="D62" s="4" t="s">
        <v>90</v>
      </c>
      <c r="E62" s="4" t="s">
        <v>91</v>
      </c>
      <c r="F62" s="4" t="s">
        <v>19</v>
      </c>
      <c r="G62" s="4">
        <v>1</v>
      </c>
      <c r="H62" s="4">
        <v>89.99</v>
      </c>
      <c r="I62" s="4" t="s">
        <v>32</v>
      </c>
      <c r="J62" s="4" t="s">
        <v>45</v>
      </c>
      <c r="K62" s="4" t="s">
        <v>34</v>
      </c>
      <c r="L62" s="5">
        <v>44802</v>
      </c>
      <c r="M62" s="4">
        <v>89.99</v>
      </c>
      <c r="N62">
        <f t="shared" si="0"/>
        <v>2024</v>
      </c>
      <c r="O62">
        <f t="shared" si="1"/>
        <v>7</v>
      </c>
      <c r="P62" t="str">
        <f t="shared" si="2"/>
        <v>2024-07</v>
      </c>
    </row>
    <row r="63" spans="1:16" ht="15.75" customHeight="1" x14ac:dyDescent="0.3">
      <c r="A63" s="5">
        <v>45476</v>
      </c>
      <c r="B63" s="4" t="s">
        <v>58</v>
      </c>
      <c r="C63" s="4" t="s">
        <v>59</v>
      </c>
      <c r="D63" s="4" t="s">
        <v>90</v>
      </c>
      <c r="E63" s="4" t="s">
        <v>91</v>
      </c>
      <c r="F63" s="4" t="s">
        <v>19</v>
      </c>
      <c r="G63" s="4">
        <v>1</v>
      </c>
      <c r="H63" s="4">
        <v>89.99</v>
      </c>
      <c r="I63" s="4" t="s">
        <v>20</v>
      </c>
      <c r="J63" s="4" t="s">
        <v>33</v>
      </c>
      <c r="K63" s="4" t="s">
        <v>34</v>
      </c>
      <c r="L63" s="5">
        <v>44611</v>
      </c>
      <c r="M63" s="4">
        <v>89.99</v>
      </c>
      <c r="N63">
        <f t="shared" si="0"/>
        <v>2024</v>
      </c>
      <c r="O63">
        <f t="shared" si="1"/>
        <v>7</v>
      </c>
      <c r="P63" t="str">
        <f t="shared" si="2"/>
        <v>2024-07</v>
      </c>
    </row>
    <row r="64" spans="1:16" ht="15.75" customHeight="1" x14ac:dyDescent="0.3">
      <c r="A64" s="5">
        <v>45476</v>
      </c>
      <c r="B64" s="4" t="s">
        <v>120</v>
      </c>
      <c r="C64" s="4" t="s">
        <v>121</v>
      </c>
      <c r="D64" s="4" t="s">
        <v>88</v>
      </c>
      <c r="E64" s="4" t="s">
        <v>89</v>
      </c>
      <c r="F64" s="4" t="s">
        <v>31</v>
      </c>
      <c r="G64" s="4">
        <v>5</v>
      </c>
      <c r="H64" s="4">
        <v>79.989999999999995</v>
      </c>
      <c r="I64" s="4" t="s">
        <v>50</v>
      </c>
      <c r="J64" s="4" t="s">
        <v>21</v>
      </c>
      <c r="K64" s="4" t="s">
        <v>22</v>
      </c>
      <c r="L64" s="5">
        <v>44981</v>
      </c>
      <c r="M64" s="4">
        <v>399.95</v>
      </c>
      <c r="N64">
        <f t="shared" si="0"/>
        <v>2024</v>
      </c>
      <c r="O64">
        <f t="shared" si="1"/>
        <v>7</v>
      </c>
      <c r="P64" t="str">
        <f t="shared" si="2"/>
        <v>2024-07</v>
      </c>
    </row>
    <row r="65" spans="1:16" ht="15.75" customHeight="1" x14ac:dyDescent="0.3">
      <c r="A65" s="5">
        <v>45481</v>
      </c>
      <c r="B65" s="4" t="s">
        <v>122</v>
      </c>
      <c r="C65" s="4" t="s">
        <v>123</v>
      </c>
      <c r="D65" s="4" t="s">
        <v>40</v>
      </c>
      <c r="E65" s="4" t="s">
        <v>41</v>
      </c>
      <c r="F65" s="4" t="s">
        <v>42</v>
      </c>
      <c r="G65" s="4">
        <v>1</v>
      </c>
      <c r="H65" s="4">
        <v>149.99</v>
      </c>
      <c r="I65" s="4" t="s">
        <v>32</v>
      </c>
      <c r="J65" s="4" t="s">
        <v>37</v>
      </c>
      <c r="K65" s="4" t="s">
        <v>22</v>
      </c>
      <c r="L65" s="5">
        <v>44421</v>
      </c>
      <c r="M65" s="4">
        <v>149.99</v>
      </c>
      <c r="N65">
        <f t="shared" si="0"/>
        <v>2024</v>
      </c>
      <c r="O65">
        <f t="shared" si="1"/>
        <v>7</v>
      </c>
      <c r="P65" t="str">
        <f t="shared" si="2"/>
        <v>2024-07</v>
      </c>
    </row>
    <row r="66" spans="1:16" ht="15.75" customHeight="1" x14ac:dyDescent="0.3">
      <c r="A66" s="5">
        <v>45481</v>
      </c>
      <c r="B66" s="4" t="s">
        <v>38</v>
      </c>
      <c r="C66" s="4" t="s">
        <v>39</v>
      </c>
      <c r="D66" s="4" t="s">
        <v>66</v>
      </c>
      <c r="E66" s="4" t="s">
        <v>67</v>
      </c>
      <c r="F66" s="4" t="s">
        <v>19</v>
      </c>
      <c r="G66" s="4">
        <v>2</v>
      </c>
      <c r="H66" s="4">
        <v>699.99</v>
      </c>
      <c r="I66" s="4" t="s">
        <v>32</v>
      </c>
      <c r="J66" s="4" t="s">
        <v>55</v>
      </c>
      <c r="K66" s="4" t="s">
        <v>26</v>
      </c>
      <c r="L66" s="5">
        <v>45389</v>
      </c>
      <c r="M66" s="4">
        <v>1399.98</v>
      </c>
      <c r="N66">
        <f t="shared" si="0"/>
        <v>2024</v>
      </c>
      <c r="O66">
        <f t="shared" si="1"/>
        <v>7</v>
      </c>
      <c r="P66" t="str">
        <f t="shared" si="2"/>
        <v>2024-07</v>
      </c>
    </row>
    <row r="67" spans="1:16" ht="15.75" customHeight="1" x14ac:dyDescent="0.3">
      <c r="A67" s="5">
        <v>45481</v>
      </c>
      <c r="B67" s="4" t="s">
        <v>76</v>
      </c>
      <c r="C67" s="4" t="s">
        <v>77</v>
      </c>
      <c r="D67" s="4" t="s">
        <v>90</v>
      </c>
      <c r="E67" s="4" t="s">
        <v>91</v>
      </c>
      <c r="F67" s="4" t="s">
        <v>19</v>
      </c>
      <c r="G67" s="4">
        <v>5</v>
      </c>
      <c r="H67" s="4">
        <v>89.99</v>
      </c>
      <c r="I67" s="4" t="s">
        <v>50</v>
      </c>
      <c r="J67" s="4" t="s">
        <v>37</v>
      </c>
      <c r="K67" s="4" t="s">
        <v>26</v>
      </c>
      <c r="L67" s="5">
        <v>45161</v>
      </c>
      <c r="M67" s="4">
        <v>449.95</v>
      </c>
      <c r="N67">
        <f t="shared" ref="N67:N130" si="3">YEAR(A67)</f>
        <v>2024</v>
      </c>
      <c r="O67">
        <f t="shared" ref="O67:O130" si="4">MONTH(A67)</f>
        <v>7</v>
      </c>
      <c r="P67" t="str">
        <f t="shared" ref="P67:P130" si="5">TEXT(A67,"yyyy-mm")</f>
        <v>2024-07</v>
      </c>
    </row>
    <row r="68" spans="1:16" ht="15.75" customHeight="1" x14ac:dyDescent="0.3">
      <c r="A68" s="5">
        <v>45482</v>
      </c>
      <c r="B68" s="4" t="s">
        <v>118</v>
      </c>
      <c r="C68" s="4" t="s">
        <v>119</v>
      </c>
      <c r="D68" s="4" t="s">
        <v>29</v>
      </c>
      <c r="E68" s="4" t="s">
        <v>30</v>
      </c>
      <c r="F68" s="4" t="s">
        <v>31</v>
      </c>
      <c r="G68" s="4">
        <v>4</v>
      </c>
      <c r="H68" s="4">
        <v>59.99</v>
      </c>
      <c r="I68" s="4" t="s">
        <v>20</v>
      </c>
      <c r="J68" s="4" t="s">
        <v>33</v>
      </c>
      <c r="K68" s="4" t="s">
        <v>34</v>
      </c>
      <c r="L68" s="5">
        <v>44509</v>
      </c>
      <c r="M68" s="4">
        <v>239.96</v>
      </c>
      <c r="N68">
        <f t="shared" si="3"/>
        <v>2024</v>
      </c>
      <c r="O68">
        <f t="shared" si="4"/>
        <v>7</v>
      </c>
      <c r="P68" t="str">
        <f t="shared" si="5"/>
        <v>2024-07</v>
      </c>
    </row>
    <row r="69" spans="1:16" ht="15.75" customHeight="1" x14ac:dyDescent="0.3">
      <c r="A69" s="5">
        <v>45484</v>
      </c>
      <c r="B69" s="4" t="s">
        <v>23</v>
      </c>
      <c r="C69" s="4" t="s">
        <v>24</v>
      </c>
      <c r="D69" s="4" t="s">
        <v>46</v>
      </c>
      <c r="E69" s="4" t="s">
        <v>47</v>
      </c>
      <c r="F69" s="4" t="s">
        <v>19</v>
      </c>
      <c r="G69" s="4">
        <v>1</v>
      </c>
      <c r="H69" s="4">
        <v>149.99</v>
      </c>
      <c r="I69" s="4" t="s">
        <v>20</v>
      </c>
      <c r="J69" s="4" t="s">
        <v>21</v>
      </c>
      <c r="K69" s="4" t="s">
        <v>34</v>
      </c>
      <c r="L69" s="5">
        <v>44909</v>
      </c>
      <c r="M69" s="4">
        <v>149.99</v>
      </c>
      <c r="N69">
        <f t="shared" si="3"/>
        <v>2024</v>
      </c>
      <c r="O69">
        <f t="shared" si="4"/>
        <v>7</v>
      </c>
      <c r="P69" t="str">
        <f t="shared" si="5"/>
        <v>2024-07</v>
      </c>
    </row>
    <row r="70" spans="1:16" ht="15.75" customHeight="1" x14ac:dyDescent="0.3">
      <c r="A70" s="5">
        <v>45484</v>
      </c>
      <c r="B70" s="4" t="s">
        <v>124</v>
      </c>
      <c r="C70" s="4" t="s">
        <v>125</v>
      </c>
      <c r="D70" s="4" t="s">
        <v>82</v>
      </c>
      <c r="E70" s="4" t="s">
        <v>83</v>
      </c>
      <c r="F70" s="4" t="s">
        <v>42</v>
      </c>
      <c r="G70" s="4">
        <v>1</v>
      </c>
      <c r="H70" s="4">
        <v>299.99</v>
      </c>
      <c r="I70" s="4" t="s">
        <v>25</v>
      </c>
      <c r="J70" s="4" t="s">
        <v>37</v>
      </c>
      <c r="K70" s="4" t="s">
        <v>26</v>
      </c>
      <c r="L70" s="5">
        <v>44891</v>
      </c>
      <c r="M70" s="4">
        <v>299.99</v>
      </c>
      <c r="N70">
        <f t="shared" si="3"/>
        <v>2024</v>
      </c>
      <c r="O70">
        <f t="shared" si="4"/>
        <v>7</v>
      </c>
      <c r="P70" t="str">
        <f t="shared" si="5"/>
        <v>2024-07</v>
      </c>
    </row>
    <row r="71" spans="1:16" ht="15.75" customHeight="1" x14ac:dyDescent="0.3">
      <c r="A71" s="5">
        <v>45487</v>
      </c>
      <c r="B71" s="4" t="s">
        <v>124</v>
      </c>
      <c r="C71" s="4" t="s">
        <v>125</v>
      </c>
      <c r="D71" s="4" t="s">
        <v>96</v>
      </c>
      <c r="E71" s="4" t="s">
        <v>97</v>
      </c>
      <c r="F71" s="4" t="s">
        <v>42</v>
      </c>
      <c r="G71" s="4">
        <v>2</v>
      </c>
      <c r="H71" s="4">
        <v>199.99</v>
      </c>
      <c r="I71" s="4" t="s">
        <v>20</v>
      </c>
      <c r="J71" s="4" t="s">
        <v>37</v>
      </c>
      <c r="K71" s="4" t="s">
        <v>22</v>
      </c>
      <c r="L71" s="5">
        <v>44541</v>
      </c>
      <c r="M71" s="4">
        <v>399.98</v>
      </c>
      <c r="N71">
        <f t="shared" si="3"/>
        <v>2024</v>
      </c>
      <c r="O71">
        <f t="shared" si="4"/>
        <v>7</v>
      </c>
      <c r="P71" t="str">
        <f t="shared" si="5"/>
        <v>2024-07</v>
      </c>
    </row>
    <row r="72" spans="1:16" ht="15.75" customHeight="1" x14ac:dyDescent="0.3">
      <c r="A72" s="5">
        <v>45490</v>
      </c>
      <c r="B72" s="4" t="s">
        <v>126</v>
      </c>
      <c r="C72" s="4" t="s">
        <v>127</v>
      </c>
      <c r="D72" s="4" t="s">
        <v>29</v>
      </c>
      <c r="E72" s="4" t="s">
        <v>30</v>
      </c>
      <c r="F72" s="4" t="s">
        <v>31</v>
      </c>
      <c r="G72" s="4">
        <v>3</v>
      </c>
      <c r="H72" s="4">
        <v>59.99</v>
      </c>
      <c r="I72" s="4" t="s">
        <v>25</v>
      </c>
      <c r="J72" s="4" t="s">
        <v>45</v>
      </c>
      <c r="K72" s="4" t="s">
        <v>22</v>
      </c>
      <c r="L72" s="5">
        <v>45130</v>
      </c>
      <c r="M72" s="4">
        <v>179.97</v>
      </c>
      <c r="N72">
        <f t="shared" si="3"/>
        <v>2024</v>
      </c>
      <c r="O72">
        <f t="shared" si="4"/>
        <v>7</v>
      </c>
      <c r="P72" t="str">
        <f t="shared" si="5"/>
        <v>2024-07</v>
      </c>
    </row>
    <row r="73" spans="1:16" ht="15.75" customHeight="1" x14ac:dyDescent="0.3">
      <c r="A73" s="5">
        <v>45490</v>
      </c>
      <c r="B73" s="4" t="s">
        <v>60</v>
      </c>
      <c r="C73" s="4" t="s">
        <v>61</v>
      </c>
      <c r="D73" s="4" t="s">
        <v>40</v>
      </c>
      <c r="E73" s="4" t="s">
        <v>41</v>
      </c>
      <c r="F73" s="4" t="s">
        <v>42</v>
      </c>
      <c r="G73" s="4">
        <v>3</v>
      </c>
      <c r="H73" s="4">
        <v>149.99</v>
      </c>
      <c r="I73" s="4" t="s">
        <v>20</v>
      </c>
      <c r="J73" s="4" t="s">
        <v>21</v>
      </c>
      <c r="K73" s="4" t="s">
        <v>26</v>
      </c>
      <c r="L73" s="5">
        <v>45199</v>
      </c>
      <c r="M73" s="4">
        <v>449.97</v>
      </c>
      <c r="N73">
        <f t="shared" si="3"/>
        <v>2024</v>
      </c>
      <c r="O73">
        <f t="shared" si="4"/>
        <v>7</v>
      </c>
      <c r="P73" t="str">
        <f t="shared" si="5"/>
        <v>2024-07</v>
      </c>
    </row>
    <row r="74" spans="1:16" ht="15.75" customHeight="1" x14ac:dyDescent="0.3">
      <c r="A74" s="5">
        <v>45491</v>
      </c>
      <c r="B74" s="4" t="s">
        <v>56</v>
      </c>
      <c r="C74" s="4" t="s">
        <v>57</v>
      </c>
      <c r="D74" s="4" t="s">
        <v>96</v>
      </c>
      <c r="E74" s="4" t="s">
        <v>97</v>
      </c>
      <c r="F74" s="4" t="s">
        <v>42</v>
      </c>
      <c r="G74" s="4">
        <v>3</v>
      </c>
      <c r="H74" s="4">
        <v>199.99</v>
      </c>
      <c r="I74" s="4" t="s">
        <v>20</v>
      </c>
      <c r="J74" s="4" t="s">
        <v>37</v>
      </c>
      <c r="K74" s="4" t="s">
        <v>26</v>
      </c>
      <c r="L74" s="5">
        <v>45254</v>
      </c>
      <c r="M74" s="4">
        <v>599.97</v>
      </c>
      <c r="N74">
        <f t="shared" si="3"/>
        <v>2024</v>
      </c>
      <c r="O74">
        <f t="shared" si="4"/>
        <v>7</v>
      </c>
      <c r="P74" t="str">
        <f t="shared" si="5"/>
        <v>2024-07</v>
      </c>
    </row>
    <row r="75" spans="1:16" ht="15.75" customHeight="1" x14ac:dyDescent="0.3">
      <c r="A75" s="5">
        <v>45496</v>
      </c>
      <c r="B75" s="4" t="s">
        <v>110</v>
      </c>
      <c r="C75" s="4" t="s">
        <v>111</v>
      </c>
      <c r="D75" s="4" t="s">
        <v>53</v>
      </c>
      <c r="E75" s="4" t="s">
        <v>54</v>
      </c>
      <c r="F75" s="4" t="s">
        <v>19</v>
      </c>
      <c r="G75" s="4">
        <v>1</v>
      </c>
      <c r="H75" s="4">
        <v>899.99</v>
      </c>
      <c r="I75" s="4" t="s">
        <v>20</v>
      </c>
      <c r="J75" s="4" t="s">
        <v>21</v>
      </c>
      <c r="K75" s="4" t="s">
        <v>34</v>
      </c>
      <c r="L75" s="5">
        <v>45179</v>
      </c>
      <c r="M75" s="4">
        <v>899.99</v>
      </c>
      <c r="N75">
        <f t="shared" si="3"/>
        <v>2024</v>
      </c>
      <c r="O75">
        <f t="shared" si="4"/>
        <v>7</v>
      </c>
      <c r="P75" t="str">
        <f t="shared" si="5"/>
        <v>2024-07</v>
      </c>
    </row>
    <row r="76" spans="1:16" ht="15.75" customHeight="1" x14ac:dyDescent="0.3">
      <c r="A76" s="5">
        <v>45497</v>
      </c>
      <c r="B76" s="4" t="s">
        <v>23</v>
      </c>
      <c r="C76" s="4" t="s">
        <v>24</v>
      </c>
      <c r="D76" s="4" t="s">
        <v>53</v>
      </c>
      <c r="E76" s="4" t="s">
        <v>54</v>
      </c>
      <c r="F76" s="4" t="s">
        <v>19</v>
      </c>
      <c r="G76" s="4">
        <v>5</v>
      </c>
      <c r="H76" s="4">
        <v>899.99</v>
      </c>
      <c r="I76" s="4" t="s">
        <v>50</v>
      </c>
      <c r="J76" s="4" t="s">
        <v>33</v>
      </c>
      <c r="K76" s="4" t="s">
        <v>34</v>
      </c>
      <c r="L76" s="5">
        <v>44899</v>
      </c>
      <c r="M76" s="4">
        <v>4499.95</v>
      </c>
      <c r="N76">
        <f t="shared" si="3"/>
        <v>2024</v>
      </c>
      <c r="O76">
        <f t="shared" si="4"/>
        <v>7</v>
      </c>
      <c r="P76" t="str">
        <f t="shared" si="5"/>
        <v>2024-07</v>
      </c>
    </row>
    <row r="77" spans="1:16" ht="15.75" customHeight="1" x14ac:dyDescent="0.3">
      <c r="A77" s="5">
        <v>45498</v>
      </c>
      <c r="B77" s="4" t="s">
        <v>120</v>
      </c>
      <c r="C77" s="4" t="s">
        <v>121</v>
      </c>
      <c r="D77" s="4" t="s">
        <v>29</v>
      </c>
      <c r="E77" s="4" t="s">
        <v>30</v>
      </c>
      <c r="F77" s="4" t="s">
        <v>31</v>
      </c>
      <c r="G77" s="4">
        <v>2</v>
      </c>
      <c r="H77" s="4">
        <v>59.99</v>
      </c>
      <c r="I77" s="4" t="s">
        <v>20</v>
      </c>
      <c r="J77" s="4" t="s">
        <v>37</v>
      </c>
      <c r="K77" s="4" t="s">
        <v>34</v>
      </c>
      <c r="L77" s="5">
        <v>45152</v>
      </c>
      <c r="M77" s="4">
        <v>119.98</v>
      </c>
      <c r="N77">
        <f t="shared" si="3"/>
        <v>2024</v>
      </c>
      <c r="O77">
        <f t="shared" si="4"/>
        <v>7</v>
      </c>
      <c r="P77" t="str">
        <f t="shared" si="5"/>
        <v>2024-07</v>
      </c>
    </row>
    <row r="78" spans="1:16" ht="15.75" customHeight="1" x14ac:dyDescent="0.3">
      <c r="A78" s="5">
        <v>45498</v>
      </c>
      <c r="B78" s="4" t="s">
        <v>126</v>
      </c>
      <c r="C78" s="4" t="s">
        <v>127</v>
      </c>
      <c r="D78" s="4" t="s">
        <v>17</v>
      </c>
      <c r="E78" s="4" t="s">
        <v>18</v>
      </c>
      <c r="F78" s="4" t="s">
        <v>19</v>
      </c>
      <c r="G78" s="4">
        <v>4</v>
      </c>
      <c r="H78" s="4">
        <v>249.99</v>
      </c>
      <c r="I78" s="4" t="s">
        <v>50</v>
      </c>
      <c r="J78" s="4" t="s">
        <v>21</v>
      </c>
      <c r="K78" s="4" t="s">
        <v>34</v>
      </c>
      <c r="L78" s="5">
        <v>45127</v>
      </c>
      <c r="M78" s="4">
        <v>999.96</v>
      </c>
      <c r="N78">
        <f t="shared" si="3"/>
        <v>2024</v>
      </c>
      <c r="O78">
        <f t="shared" si="4"/>
        <v>7</v>
      </c>
      <c r="P78" t="str">
        <f t="shared" si="5"/>
        <v>2024-07</v>
      </c>
    </row>
    <row r="79" spans="1:16" ht="15.75" customHeight="1" x14ac:dyDescent="0.3">
      <c r="A79" s="5">
        <v>45500</v>
      </c>
      <c r="B79" s="4" t="s">
        <v>76</v>
      </c>
      <c r="C79" s="4" t="s">
        <v>77</v>
      </c>
      <c r="D79" s="4" t="s">
        <v>17</v>
      </c>
      <c r="E79" s="4" t="s">
        <v>18</v>
      </c>
      <c r="F79" s="4" t="s">
        <v>19</v>
      </c>
      <c r="G79" s="4">
        <v>2</v>
      </c>
      <c r="H79" s="4">
        <v>249.99</v>
      </c>
      <c r="I79" s="4" t="s">
        <v>20</v>
      </c>
      <c r="J79" s="4" t="s">
        <v>37</v>
      </c>
      <c r="K79" s="4" t="s">
        <v>26</v>
      </c>
      <c r="L79" s="5">
        <v>45164</v>
      </c>
      <c r="M79" s="4">
        <v>499.98</v>
      </c>
      <c r="N79">
        <f t="shared" si="3"/>
        <v>2024</v>
      </c>
      <c r="O79">
        <f t="shared" si="4"/>
        <v>7</v>
      </c>
      <c r="P79" t="str">
        <f t="shared" si="5"/>
        <v>2024-07</v>
      </c>
    </row>
    <row r="80" spans="1:16" ht="15.75" customHeight="1" x14ac:dyDescent="0.3">
      <c r="A80" s="5">
        <v>45500</v>
      </c>
      <c r="B80" s="4" t="s">
        <v>108</v>
      </c>
      <c r="C80" s="4" t="s">
        <v>109</v>
      </c>
      <c r="D80" s="4" t="s">
        <v>82</v>
      </c>
      <c r="E80" s="4" t="s">
        <v>83</v>
      </c>
      <c r="F80" s="4" t="s">
        <v>42</v>
      </c>
      <c r="G80" s="4">
        <v>1</v>
      </c>
      <c r="H80" s="4">
        <v>299.99</v>
      </c>
      <c r="I80" s="4" t="s">
        <v>20</v>
      </c>
      <c r="J80" s="4" t="s">
        <v>33</v>
      </c>
      <c r="K80" s="4" t="s">
        <v>22</v>
      </c>
      <c r="L80" s="5">
        <v>44982</v>
      </c>
      <c r="M80" s="4">
        <v>299.99</v>
      </c>
      <c r="N80">
        <f t="shared" si="3"/>
        <v>2024</v>
      </c>
      <c r="O80">
        <f t="shared" si="4"/>
        <v>7</v>
      </c>
      <c r="P80" t="str">
        <f t="shared" si="5"/>
        <v>2024-07</v>
      </c>
    </row>
    <row r="81" spans="1:16" ht="15.75" customHeight="1" x14ac:dyDescent="0.3">
      <c r="A81" s="5">
        <v>45501</v>
      </c>
      <c r="B81" s="4" t="s">
        <v>70</v>
      </c>
      <c r="C81" s="4" t="s">
        <v>71</v>
      </c>
      <c r="D81" s="4" t="s">
        <v>90</v>
      </c>
      <c r="E81" s="4" t="s">
        <v>91</v>
      </c>
      <c r="F81" s="4" t="s">
        <v>19</v>
      </c>
      <c r="G81" s="4">
        <v>2</v>
      </c>
      <c r="H81" s="4">
        <v>89.99</v>
      </c>
      <c r="I81" s="4" t="s">
        <v>32</v>
      </c>
      <c r="J81" s="4" t="s">
        <v>33</v>
      </c>
      <c r="K81" s="4" t="s">
        <v>22</v>
      </c>
      <c r="L81" s="5">
        <v>44976</v>
      </c>
      <c r="M81" s="4">
        <v>179.98</v>
      </c>
      <c r="N81">
        <f t="shared" si="3"/>
        <v>2024</v>
      </c>
      <c r="O81">
        <f t="shared" si="4"/>
        <v>7</v>
      </c>
      <c r="P81" t="str">
        <f t="shared" si="5"/>
        <v>2024-07</v>
      </c>
    </row>
    <row r="82" spans="1:16" ht="15.75" customHeight="1" x14ac:dyDescent="0.3">
      <c r="A82" s="5">
        <v>45501</v>
      </c>
      <c r="B82" s="4" t="s">
        <v>108</v>
      </c>
      <c r="C82" s="4" t="s">
        <v>109</v>
      </c>
      <c r="D82" s="4" t="s">
        <v>82</v>
      </c>
      <c r="E82" s="4" t="s">
        <v>83</v>
      </c>
      <c r="F82" s="4" t="s">
        <v>42</v>
      </c>
      <c r="G82" s="4">
        <v>3</v>
      </c>
      <c r="H82" s="4">
        <v>299.99</v>
      </c>
      <c r="I82" s="4" t="s">
        <v>20</v>
      </c>
      <c r="J82" s="4" t="s">
        <v>21</v>
      </c>
      <c r="K82" s="4" t="s">
        <v>22</v>
      </c>
      <c r="L82" s="5">
        <v>44732</v>
      </c>
      <c r="M82" s="4">
        <v>899.97</v>
      </c>
      <c r="N82">
        <f t="shared" si="3"/>
        <v>2024</v>
      </c>
      <c r="O82">
        <f t="shared" si="4"/>
        <v>7</v>
      </c>
      <c r="P82" t="str">
        <f t="shared" si="5"/>
        <v>2024-07</v>
      </c>
    </row>
    <row r="83" spans="1:16" ht="15.75" customHeight="1" x14ac:dyDescent="0.3">
      <c r="A83" s="5">
        <v>45503</v>
      </c>
      <c r="B83" s="4" t="s">
        <v>70</v>
      </c>
      <c r="C83" s="4" t="s">
        <v>71</v>
      </c>
      <c r="D83" s="4" t="s">
        <v>66</v>
      </c>
      <c r="E83" s="4" t="s">
        <v>67</v>
      </c>
      <c r="F83" s="4" t="s">
        <v>19</v>
      </c>
      <c r="G83" s="4">
        <v>2</v>
      </c>
      <c r="H83" s="4">
        <v>699.99</v>
      </c>
      <c r="I83" s="4" t="s">
        <v>25</v>
      </c>
      <c r="J83" s="4" t="s">
        <v>37</v>
      </c>
      <c r="K83" s="4" t="s">
        <v>26</v>
      </c>
      <c r="L83" s="5">
        <v>44999</v>
      </c>
      <c r="M83" s="4">
        <v>1399.98</v>
      </c>
      <c r="N83">
        <f t="shared" si="3"/>
        <v>2024</v>
      </c>
      <c r="O83">
        <f t="shared" si="4"/>
        <v>7</v>
      </c>
      <c r="P83" t="str">
        <f t="shared" si="5"/>
        <v>2024-07</v>
      </c>
    </row>
    <row r="84" spans="1:16" ht="15.75" customHeight="1" x14ac:dyDescent="0.3">
      <c r="A84" s="5">
        <v>45504</v>
      </c>
      <c r="B84" s="4" t="s">
        <v>92</v>
      </c>
      <c r="C84" s="4" t="s">
        <v>93</v>
      </c>
      <c r="D84" s="4" t="s">
        <v>53</v>
      </c>
      <c r="E84" s="4" t="s">
        <v>54</v>
      </c>
      <c r="F84" s="4" t="s">
        <v>19</v>
      </c>
      <c r="G84" s="4">
        <v>4</v>
      </c>
      <c r="H84" s="4">
        <v>899.99</v>
      </c>
      <c r="I84" s="4" t="s">
        <v>50</v>
      </c>
      <c r="J84" s="4" t="s">
        <v>33</v>
      </c>
      <c r="K84" s="4" t="s">
        <v>34</v>
      </c>
      <c r="L84" s="5">
        <v>44523</v>
      </c>
      <c r="M84" s="4">
        <v>3599.96</v>
      </c>
      <c r="N84">
        <f t="shared" si="3"/>
        <v>2024</v>
      </c>
      <c r="O84">
        <f t="shared" si="4"/>
        <v>7</v>
      </c>
      <c r="P84" t="str">
        <f t="shared" si="5"/>
        <v>2024-07</v>
      </c>
    </row>
    <row r="85" spans="1:16" ht="15.75" customHeight="1" x14ac:dyDescent="0.3">
      <c r="A85" s="5">
        <v>45509</v>
      </c>
      <c r="B85" s="4" t="s">
        <v>128</v>
      </c>
      <c r="C85" s="4" t="s">
        <v>129</v>
      </c>
      <c r="D85" s="4" t="s">
        <v>40</v>
      </c>
      <c r="E85" s="4" t="s">
        <v>41</v>
      </c>
      <c r="F85" s="4" t="s">
        <v>42</v>
      </c>
      <c r="G85" s="4">
        <v>2</v>
      </c>
      <c r="H85" s="4">
        <v>149.99</v>
      </c>
      <c r="I85" s="4" t="s">
        <v>25</v>
      </c>
      <c r="J85" s="4" t="s">
        <v>45</v>
      </c>
      <c r="K85" s="4" t="s">
        <v>22</v>
      </c>
      <c r="L85" s="5">
        <v>44542</v>
      </c>
      <c r="M85" s="4">
        <v>299.98</v>
      </c>
      <c r="N85">
        <f t="shared" si="3"/>
        <v>2024</v>
      </c>
      <c r="O85">
        <f t="shared" si="4"/>
        <v>8</v>
      </c>
      <c r="P85" t="str">
        <f t="shared" si="5"/>
        <v>2024-08</v>
      </c>
    </row>
    <row r="86" spans="1:16" ht="15.75" customHeight="1" x14ac:dyDescent="0.3">
      <c r="A86" s="5">
        <v>45510</v>
      </c>
      <c r="B86" s="4" t="s">
        <v>80</v>
      </c>
      <c r="C86" s="4" t="s">
        <v>81</v>
      </c>
      <c r="D86" s="4" t="s">
        <v>40</v>
      </c>
      <c r="E86" s="4" t="s">
        <v>41</v>
      </c>
      <c r="F86" s="4" t="s">
        <v>42</v>
      </c>
      <c r="G86" s="4">
        <v>2</v>
      </c>
      <c r="H86" s="4">
        <v>149.99</v>
      </c>
      <c r="I86" s="4" t="s">
        <v>50</v>
      </c>
      <c r="J86" s="4" t="s">
        <v>55</v>
      </c>
      <c r="K86" s="4" t="s">
        <v>34</v>
      </c>
      <c r="L86" s="5">
        <v>44667</v>
      </c>
      <c r="M86" s="4">
        <v>299.98</v>
      </c>
      <c r="N86">
        <f t="shared" si="3"/>
        <v>2024</v>
      </c>
      <c r="O86">
        <f t="shared" si="4"/>
        <v>8</v>
      </c>
      <c r="P86" t="str">
        <f t="shared" si="5"/>
        <v>2024-08</v>
      </c>
    </row>
    <row r="87" spans="1:16" ht="15.75" customHeight="1" x14ac:dyDescent="0.3">
      <c r="A87" s="5">
        <v>45513</v>
      </c>
      <c r="B87" s="4" t="s">
        <v>72</v>
      </c>
      <c r="C87" s="4" t="s">
        <v>73</v>
      </c>
      <c r="D87" s="4" t="s">
        <v>90</v>
      </c>
      <c r="E87" s="4" t="s">
        <v>91</v>
      </c>
      <c r="F87" s="4" t="s">
        <v>19</v>
      </c>
      <c r="G87" s="4">
        <v>1</v>
      </c>
      <c r="H87" s="4">
        <v>89.99</v>
      </c>
      <c r="I87" s="4" t="s">
        <v>25</v>
      </c>
      <c r="J87" s="4" t="s">
        <v>37</v>
      </c>
      <c r="K87" s="4" t="s">
        <v>34</v>
      </c>
      <c r="L87" s="5">
        <v>45393</v>
      </c>
      <c r="M87" s="4">
        <v>89.99</v>
      </c>
      <c r="N87">
        <f t="shared" si="3"/>
        <v>2024</v>
      </c>
      <c r="O87">
        <f t="shared" si="4"/>
        <v>8</v>
      </c>
      <c r="P87" t="str">
        <f t="shared" si="5"/>
        <v>2024-08</v>
      </c>
    </row>
    <row r="88" spans="1:16" ht="15.75" customHeight="1" x14ac:dyDescent="0.3">
      <c r="A88" s="5">
        <v>45515</v>
      </c>
      <c r="B88" s="4" t="s">
        <v>70</v>
      </c>
      <c r="C88" s="4" t="s">
        <v>71</v>
      </c>
      <c r="D88" s="4" t="s">
        <v>82</v>
      </c>
      <c r="E88" s="4" t="s">
        <v>83</v>
      </c>
      <c r="F88" s="4" t="s">
        <v>42</v>
      </c>
      <c r="G88" s="4">
        <v>5</v>
      </c>
      <c r="H88" s="4">
        <v>299.99</v>
      </c>
      <c r="I88" s="4" t="s">
        <v>25</v>
      </c>
      <c r="J88" s="4" t="s">
        <v>37</v>
      </c>
      <c r="K88" s="4" t="s">
        <v>22</v>
      </c>
      <c r="L88" s="5">
        <v>44965</v>
      </c>
      <c r="M88" s="4">
        <v>1499.95</v>
      </c>
      <c r="N88">
        <f t="shared" si="3"/>
        <v>2024</v>
      </c>
      <c r="O88">
        <f t="shared" si="4"/>
        <v>8</v>
      </c>
      <c r="P88" t="str">
        <f t="shared" si="5"/>
        <v>2024-08</v>
      </c>
    </row>
    <row r="89" spans="1:16" ht="15.75" customHeight="1" x14ac:dyDescent="0.3">
      <c r="A89" s="5">
        <v>45517</v>
      </c>
      <c r="B89" s="4" t="s">
        <v>120</v>
      </c>
      <c r="C89" s="4" t="s">
        <v>121</v>
      </c>
      <c r="D89" s="4" t="s">
        <v>46</v>
      </c>
      <c r="E89" s="4" t="s">
        <v>47</v>
      </c>
      <c r="F89" s="4" t="s">
        <v>19</v>
      </c>
      <c r="G89" s="4">
        <v>4</v>
      </c>
      <c r="H89" s="4">
        <v>149.99</v>
      </c>
      <c r="I89" s="4" t="s">
        <v>50</v>
      </c>
      <c r="J89" s="4" t="s">
        <v>33</v>
      </c>
      <c r="K89" s="4" t="s">
        <v>26</v>
      </c>
      <c r="L89" s="5">
        <v>44820</v>
      </c>
      <c r="M89" s="4">
        <v>599.96</v>
      </c>
      <c r="N89">
        <f t="shared" si="3"/>
        <v>2024</v>
      </c>
      <c r="O89">
        <f t="shared" si="4"/>
        <v>8</v>
      </c>
      <c r="P89" t="str">
        <f t="shared" si="5"/>
        <v>2024-08</v>
      </c>
    </row>
    <row r="90" spans="1:16" ht="15.75" customHeight="1" x14ac:dyDescent="0.3">
      <c r="A90" s="5">
        <v>45517</v>
      </c>
      <c r="B90" s="4" t="s">
        <v>122</v>
      </c>
      <c r="C90" s="4" t="s">
        <v>123</v>
      </c>
      <c r="D90" s="4" t="s">
        <v>17</v>
      </c>
      <c r="E90" s="4" t="s">
        <v>18</v>
      </c>
      <c r="F90" s="4" t="s">
        <v>19</v>
      </c>
      <c r="G90" s="4">
        <v>5</v>
      </c>
      <c r="H90" s="4">
        <v>249.99</v>
      </c>
      <c r="I90" s="4" t="s">
        <v>32</v>
      </c>
      <c r="J90" s="4" t="s">
        <v>55</v>
      </c>
      <c r="K90" s="4" t="s">
        <v>26</v>
      </c>
      <c r="L90" s="5">
        <v>44782</v>
      </c>
      <c r="M90" s="4">
        <v>1249.95</v>
      </c>
      <c r="N90">
        <f t="shared" si="3"/>
        <v>2024</v>
      </c>
      <c r="O90">
        <f t="shared" si="4"/>
        <v>8</v>
      </c>
      <c r="P90" t="str">
        <f t="shared" si="5"/>
        <v>2024-08</v>
      </c>
    </row>
    <row r="91" spans="1:16" ht="15.75" customHeight="1" x14ac:dyDescent="0.3">
      <c r="A91" s="5">
        <v>45517</v>
      </c>
      <c r="B91" s="4" t="s">
        <v>56</v>
      </c>
      <c r="C91" s="4" t="s">
        <v>57</v>
      </c>
      <c r="D91" s="4" t="s">
        <v>17</v>
      </c>
      <c r="E91" s="4" t="s">
        <v>18</v>
      </c>
      <c r="F91" s="4" t="s">
        <v>19</v>
      </c>
      <c r="G91" s="4">
        <v>3</v>
      </c>
      <c r="H91" s="4">
        <v>249.99</v>
      </c>
      <c r="I91" s="4" t="s">
        <v>32</v>
      </c>
      <c r="J91" s="4" t="s">
        <v>37</v>
      </c>
      <c r="K91" s="4" t="s">
        <v>26</v>
      </c>
      <c r="L91" s="5">
        <v>44465</v>
      </c>
      <c r="M91" s="4">
        <v>749.97</v>
      </c>
      <c r="N91">
        <f t="shared" si="3"/>
        <v>2024</v>
      </c>
      <c r="O91">
        <f t="shared" si="4"/>
        <v>8</v>
      </c>
      <c r="P91" t="str">
        <f t="shared" si="5"/>
        <v>2024-08</v>
      </c>
    </row>
    <row r="92" spans="1:16" ht="15.75" customHeight="1" x14ac:dyDescent="0.3">
      <c r="A92" s="5">
        <v>45517</v>
      </c>
      <c r="B92" s="4" t="s">
        <v>35</v>
      </c>
      <c r="C92" s="4" t="s">
        <v>36</v>
      </c>
      <c r="D92" s="4" t="s">
        <v>96</v>
      </c>
      <c r="E92" s="4" t="s">
        <v>97</v>
      </c>
      <c r="F92" s="4" t="s">
        <v>42</v>
      </c>
      <c r="G92" s="4">
        <v>4</v>
      </c>
      <c r="H92" s="4">
        <v>199.99</v>
      </c>
      <c r="I92" s="4" t="s">
        <v>20</v>
      </c>
      <c r="J92" s="4" t="s">
        <v>37</v>
      </c>
      <c r="K92" s="4" t="s">
        <v>34</v>
      </c>
      <c r="L92" s="5">
        <v>44458</v>
      </c>
      <c r="M92" s="4">
        <v>799.96</v>
      </c>
      <c r="N92">
        <f t="shared" si="3"/>
        <v>2024</v>
      </c>
      <c r="O92">
        <f t="shared" si="4"/>
        <v>8</v>
      </c>
      <c r="P92" t="str">
        <f t="shared" si="5"/>
        <v>2024-08</v>
      </c>
    </row>
    <row r="93" spans="1:16" ht="15.75" customHeight="1" x14ac:dyDescent="0.3">
      <c r="A93" s="5">
        <v>45519</v>
      </c>
      <c r="B93" s="4" t="s">
        <v>114</v>
      </c>
      <c r="C93" s="4" t="s">
        <v>115</v>
      </c>
      <c r="D93" s="4" t="s">
        <v>96</v>
      </c>
      <c r="E93" s="4" t="s">
        <v>97</v>
      </c>
      <c r="F93" s="4" t="s">
        <v>42</v>
      </c>
      <c r="G93" s="4">
        <v>5</v>
      </c>
      <c r="H93" s="4">
        <v>199.99</v>
      </c>
      <c r="I93" s="4" t="s">
        <v>20</v>
      </c>
      <c r="J93" s="4" t="s">
        <v>37</v>
      </c>
      <c r="K93" s="4" t="s">
        <v>26</v>
      </c>
      <c r="L93" s="5">
        <v>44991</v>
      </c>
      <c r="M93" s="4">
        <v>999.95</v>
      </c>
      <c r="N93">
        <f t="shared" si="3"/>
        <v>2024</v>
      </c>
      <c r="O93">
        <f t="shared" si="4"/>
        <v>8</v>
      </c>
      <c r="P93" t="str">
        <f t="shared" si="5"/>
        <v>2024-08</v>
      </c>
    </row>
    <row r="94" spans="1:16" ht="15.75" customHeight="1" x14ac:dyDescent="0.3">
      <c r="A94" s="5">
        <v>45522</v>
      </c>
      <c r="B94" s="4" t="s">
        <v>70</v>
      </c>
      <c r="C94" s="4" t="s">
        <v>71</v>
      </c>
      <c r="D94" s="4" t="s">
        <v>90</v>
      </c>
      <c r="E94" s="4" t="s">
        <v>91</v>
      </c>
      <c r="F94" s="4" t="s">
        <v>19</v>
      </c>
      <c r="G94" s="4">
        <v>2</v>
      </c>
      <c r="H94" s="4">
        <v>89.99</v>
      </c>
      <c r="I94" s="4" t="s">
        <v>20</v>
      </c>
      <c r="J94" s="4" t="s">
        <v>55</v>
      </c>
      <c r="K94" s="4" t="s">
        <v>26</v>
      </c>
      <c r="L94" s="5">
        <v>44972</v>
      </c>
      <c r="M94" s="4">
        <v>179.98</v>
      </c>
      <c r="N94">
        <f t="shared" si="3"/>
        <v>2024</v>
      </c>
      <c r="O94">
        <f t="shared" si="4"/>
        <v>8</v>
      </c>
      <c r="P94" t="str">
        <f t="shared" si="5"/>
        <v>2024-08</v>
      </c>
    </row>
    <row r="95" spans="1:16" ht="15.75" customHeight="1" x14ac:dyDescent="0.3">
      <c r="A95" s="5">
        <v>45523</v>
      </c>
      <c r="B95" s="4" t="s">
        <v>126</v>
      </c>
      <c r="C95" s="4" t="s">
        <v>127</v>
      </c>
      <c r="D95" s="4" t="s">
        <v>53</v>
      </c>
      <c r="E95" s="4" t="s">
        <v>54</v>
      </c>
      <c r="F95" s="4" t="s">
        <v>19</v>
      </c>
      <c r="G95" s="4">
        <v>5</v>
      </c>
      <c r="H95" s="4">
        <v>899.99</v>
      </c>
      <c r="I95" s="4" t="s">
        <v>50</v>
      </c>
      <c r="J95" s="4" t="s">
        <v>55</v>
      </c>
      <c r="K95" s="4" t="s">
        <v>22</v>
      </c>
      <c r="L95" s="5">
        <v>44526</v>
      </c>
      <c r="M95" s="4">
        <v>4499.95</v>
      </c>
      <c r="N95">
        <f t="shared" si="3"/>
        <v>2024</v>
      </c>
      <c r="O95">
        <f t="shared" si="4"/>
        <v>8</v>
      </c>
      <c r="P95" t="str">
        <f t="shared" si="5"/>
        <v>2024-08</v>
      </c>
    </row>
    <row r="96" spans="1:16" ht="15.75" customHeight="1" x14ac:dyDescent="0.3">
      <c r="A96" s="5">
        <v>45523</v>
      </c>
      <c r="B96" s="4" t="s">
        <v>84</v>
      </c>
      <c r="C96" s="4" t="s">
        <v>85</v>
      </c>
      <c r="D96" s="4" t="s">
        <v>46</v>
      </c>
      <c r="E96" s="4" t="s">
        <v>47</v>
      </c>
      <c r="F96" s="4" t="s">
        <v>19</v>
      </c>
      <c r="G96" s="4">
        <v>3</v>
      </c>
      <c r="H96" s="4">
        <v>149.99</v>
      </c>
      <c r="I96" s="4" t="s">
        <v>32</v>
      </c>
      <c r="J96" s="4" t="s">
        <v>55</v>
      </c>
      <c r="K96" s="4" t="s">
        <v>22</v>
      </c>
      <c r="L96" s="5">
        <v>44574</v>
      </c>
      <c r="M96" s="4">
        <v>449.97</v>
      </c>
      <c r="N96">
        <f t="shared" si="3"/>
        <v>2024</v>
      </c>
      <c r="O96">
        <f t="shared" si="4"/>
        <v>8</v>
      </c>
      <c r="P96" t="str">
        <f t="shared" si="5"/>
        <v>2024-08</v>
      </c>
    </row>
    <row r="97" spans="1:16" ht="15.75" customHeight="1" x14ac:dyDescent="0.3">
      <c r="A97" s="5">
        <v>45526</v>
      </c>
      <c r="B97" s="4" t="s">
        <v>80</v>
      </c>
      <c r="C97" s="4" t="s">
        <v>81</v>
      </c>
      <c r="D97" s="4" t="s">
        <v>40</v>
      </c>
      <c r="E97" s="4" t="s">
        <v>41</v>
      </c>
      <c r="F97" s="4" t="s">
        <v>42</v>
      </c>
      <c r="G97" s="4">
        <v>5</v>
      </c>
      <c r="H97" s="4">
        <v>149.99</v>
      </c>
      <c r="I97" s="4" t="s">
        <v>25</v>
      </c>
      <c r="J97" s="4" t="s">
        <v>21</v>
      </c>
      <c r="K97" s="4" t="s">
        <v>22</v>
      </c>
      <c r="L97" s="5">
        <v>45310</v>
      </c>
      <c r="M97" s="4">
        <v>749.95</v>
      </c>
      <c r="N97">
        <f t="shared" si="3"/>
        <v>2024</v>
      </c>
      <c r="O97">
        <f t="shared" si="4"/>
        <v>8</v>
      </c>
      <c r="P97" t="str">
        <f t="shared" si="5"/>
        <v>2024-08</v>
      </c>
    </row>
    <row r="98" spans="1:16" ht="15.75" customHeight="1" x14ac:dyDescent="0.3">
      <c r="A98" s="5">
        <v>45528</v>
      </c>
      <c r="B98" s="4" t="s">
        <v>130</v>
      </c>
      <c r="C98" s="4" t="s">
        <v>131</v>
      </c>
      <c r="D98" s="4" t="s">
        <v>88</v>
      </c>
      <c r="E98" s="4" t="s">
        <v>89</v>
      </c>
      <c r="F98" s="4" t="s">
        <v>31</v>
      </c>
      <c r="G98" s="4">
        <v>3</v>
      </c>
      <c r="H98" s="4">
        <v>79.989999999999995</v>
      </c>
      <c r="I98" s="4" t="s">
        <v>20</v>
      </c>
      <c r="J98" s="4" t="s">
        <v>21</v>
      </c>
      <c r="K98" s="4" t="s">
        <v>26</v>
      </c>
      <c r="L98" s="5">
        <v>44779</v>
      </c>
      <c r="M98" s="4">
        <v>239.97</v>
      </c>
      <c r="N98">
        <f t="shared" si="3"/>
        <v>2024</v>
      </c>
      <c r="O98">
        <f t="shared" si="4"/>
        <v>8</v>
      </c>
      <c r="P98" t="str">
        <f t="shared" si="5"/>
        <v>2024-08</v>
      </c>
    </row>
    <row r="99" spans="1:16" ht="15.75" customHeight="1" x14ac:dyDescent="0.3">
      <c r="A99" s="5">
        <v>45528</v>
      </c>
      <c r="B99" s="4" t="s">
        <v>106</v>
      </c>
      <c r="C99" s="4" t="s">
        <v>107</v>
      </c>
      <c r="D99" s="4" t="s">
        <v>17</v>
      </c>
      <c r="E99" s="4" t="s">
        <v>18</v>
      </c>
      <c r="F99" s="4" t="s">
        <v>19</v>
      </c>
      <c r="G99" s="4">
        <v>2</v>
      </c>
      <c r="H99" s="4">
        <v>249.99</v>
      </c>
      <c r="I99" s="4" t="s">
        <v>20</v>
      </c>
      <c r="J99" s="4" t="s">
        <v>33</v>
      </c>
      <c r="K99" s="4" t="s">
        <v>34</v>
      </c>
      <c r="L99" s="5">
        <v>44572</v>
      </c>
      <c r="M99" s="4">
        <v>499.98</v>
      </c>
      <c r="N99">
        <f t="shared" si="3"/>
        <v>2024</v>
      </c>
      <c r="O99">
        <f t="shared" si="4"/>
        <v>8</v>
      </c>
      <c r="P99" t="str">
        <f t="shared" si="5"/>
        <v>2024-08</v>
      </c>
    </row>
    <row r="100" spans="1:16" ht="15.75" customHeight="1" x14ac:dyDescent="0.3">
      <c r="A100" s="5">
        <v>45532</v>
      </c>
      <c r="B100" s="4" t="s">
        <v>126</v>
      </c>
      <c r="C100" s="4" t="s">
        <v>127</v>
      </c>
      <c r="D100" s="4" t="s">
        <v>66</v>
      </c>
      <c r="E100" s="4" t="s">
        <v>67</v>
      </c>
      <c r="F100" s="4" t="s">
        <v>19</v>
      </c>
      <c r="G100" s="4">
        <v>1</v>
      </c>
      <c r="H100" s="4">
        <v>699.99</v>
      </c>
      <c r="I100" s="4" t="s">
        <v>20</v>
      </c>
      <c r="J100" s="4" t="s">
        <v>21</v>
      </c>
      <c r="K100" s="4" t="s">
        <v>26</v>
      </c>
      <c r="L100" s="5">
        <v>44497</v>
      </c>
      <c r="M100" s="4">
        <v>699.99</v>
      </c>
      <c r="N100">
        <f t="shared" si="3"/>
        <v>2024</v>
      </c>
      <c r="O100">
        <f t="shared" si="4"/>
        <v>8</v>
      </c>
      <c r="P100" t="str">
        <f t="shared" si="5"/>
        <v>2024-08</v>
      </c>
    </row>
    <row r="101" spans="1:16" ht="15.75" customHeight="1" x14ac:dyDescent="0.3">
      <c r="A101" s="5">
        <v>45532</v>
      </c>
      <c r="B101" s="4" t="s">
        <v>132</v>
      </c>
      <c r="C101" s="4" t="s">
        <v>133</v>
      </c>
      <c r="D101" s="4" t="s">
        <v>46</v>
      </c>
      <c r="E101" s="4" t="s">
        <v>47</v>
      </c>
      <c r="F101" s="4" t="s">
        <v>19</v>
      </c>
      <c r="G101" s="4">
        <v>3</v>
      </c>
      <c r="H101" s="4">
        <v>149.99</v>
      </c>
      <c r="I101" s="4" t="s">
        <v>20</v>
      </c>
      <c r="J101" s="4" t="s">
        <v>45</v>
      </c>
      <c r="K101" s="4" t="s">
        <v>26</v>
      </c>
      <c r="L101" s="5">
        <v>45212</v>
      </c>
      <c r="M101" s="4">
        <v>449.97</v>
      </c>
      <c r="N101">
        <f t="shared" si="3"/>
        <v>2024</v>
      </c>
      <c r="O101">
        <f t="shared" si="4"/>
        <v>8</v>
      </c>
      <c r="P101" t="str">
        <f t="shared" si="5"/>
        <v>2024-08</v>
      </c>
    </row>
    <row r="102" spans="1:16" ht="15.75" customHeight="1" x14ac:dyDescent="0.3">
      <c r="A102" s="5">
        <v>45534</v>
      </c>
      <c r="B102" s="4" t="s">
        <v>134</v>
      </c>
      <c r="C102" s="4" t="s">
        <v>135</v>
      </c>
      <c r="D102" s="4" t="s">
        <v>66</v>
      </c>
      <c r="E102" s="4" t="s">
        <v>67</v>
      </c>
      <c r="F102" s="4" t="s">
        <v>19</v>
      </c>
      <c r="G102" s="4">
        <v>2</v>
      </c>
      <c r="H102" s="4">
        <v>699.99</v>
      </c>
      <c r="I102" s="4" t="s">
        <v>25</v>
      </c>
      <c r="J102" s="4" t="s">
        <v>37</v>
      </c>
      <c r="K102" s="4" t="s">
        <v>26</v>
      </c>
      <c r="L102" s="5">
        <v>44421</v>
      </c>
      <c r="M102" s="4">
        <v>1399.98</v>
      </c>
      <c r="N102">
        <f t="shared" si="3"/>
        <v>2024</v>
      </c>
      <c r="O102">
        <f t="shared" si="4"/>
        <v>8</v>
      </c>
      <c r="P102" t="str">
        <f t="shared" si="5"/>
        <v>2024-08</v>
      </c>
    </row>
    <row r="103" spans="1:16" ht="15.75" customHeight="1" x14ac:dyDescent="0.3">
      <c r="A103" s="5">
        <v>45537</v>
      </c>
      <c r="B103" s="4" t="s">
        <v>132</v>
      </c>
      <c r="C103" s="4" t="s">
        <v>133</v>
      </c>
      <c r="D103" s="4" t="s">
        <v>17</v>
      </c>
      <c r="E103" s="4" t="s">
        <v>18</v>
      </c>
      <c r="F103" s="4" t="s">
        <v>19</v>
      </c>
      <c r="G103" s="4">
        <v>1</v>
      </c>
      <c r="H103" s="4">
        <v>249.99</v>
      </c>
      <c r="I103" s="4" t="s">
        <v>25</v>
      </c>
      <c r="J103" s="4" t="s">
        <v>45</v>
      </c>
      <c r="K103" s="4" t="s">
        <v>26</v>
      </c>
      <c r="L103" s="5">
        <v>44685</v>
      </c>
      <c r="M103" s="4">
        <v>249.99</v>
      </c>
      <c r="N103">
        <f t="shared" si="3"/>
        <v>2024</v>
      </c>
      <c r="O103">
        <f t="shared" si="4"/>
        <v>9</v>
      </c>
      <c r="P103" t="str">
        <f t="shared" si="5"/>
        <v>2024-09</v>
      </c>
    </row>
    <row r="104" spans="1:16" ht="15.75" customHeight="1" x14ac:dyDescent="0.3">
      <c r="A104" s="5">
        <v>45537</v>
      </c>
      <c r="B104" s="4" t="s">
        <v>15</v>
      </c>
      <c r="C104" s="4" t="s">
        <v>16</v>
      </c>
      <c r="D104" s="4" t="s">
        <v>17</v>
      </c>
      <c r="E104" s="4" t="s">
        <v>18</v>
      </c>
      <c r="F104" s="4" t="s">
        <v>19</v>
      </c>
      <c r="G104" s="4">
        <v>1</v>
      </c>
      <c r="H104" s="4">
        <v>249.99</v>
      </c>
      <c r="I104" s="4" t="s">
        <v>50</v>
      </c>
      <c r="J104" s="4" t="s">
        <v>37</v>
      </c>
      <c r="K104" s="4" t="s">
        <v>26</v>
      </c>
      <c r="L104" s="5">
        <v>45332</v>
      </c>
      <c r="M104" s="4">
        <v>249.99</v>
      </c>
      <c r="N104">
        <f t="shared" si="3"/>
        <v>2024</v>
      </c>
      <c r="O104">
        <f t="shared" si="4"/>
        <v>9</v>
      </c>
      <c r="P104" t="str">
        <f t="shared" si="5"/>
        <v>2024-09</v>
      </c>
    </row>
    <row r="105" spans="1:16" ht="15.75" customHeight="1" x14ac:dyDescent="0.3">
      <c r="A105" s="5">
        <v>45538</v>
      </c>
      <c r="B105" s="4" t="s">
        <v>130</v>
      </c>
      <c r="C105" s="4" t="s">
        <v>131</v>
      </c>
      <c r="D105" s="4" t="s">
        <v>66</v>
      </c>
      <c r="E105" s="4" t="s">
        <v>67</v>
      </c>
      <c r="F105" s="4" t="s">
        <v>19</v>
      </c>
      <c r="G105" s="4">
        <v>2</v>
      </c>
      <c r="H105" s="4">
        <v>699.99</v>
      </c>
      <c r="I105" s="4" t="s">
        <v>50</v>
      </c>
      <c r="J105" s="4" t="s">
        <v>21</v>
      </c>
      <c r="K105" s="4" t="s">
        <v>26</v>
      </c>
      <c r="L105" s="5">
        <v>44870</v>
      </c>
      <c r="M105" s="4">
        <v>1399.98</v>
      </c>
      <c r="N105">
        <f t="shared" si="3"/>
        <v>2024</v>
      </c>
      <c r="O105">
        <f t="shared" si="4"/>
        <v>9</v>
      </c>
      <c r="P105" t="str">
        <f t="shared" si="5"/>
        <v>2024-09</v>
      </c>
    </row>
    <row r="106" spans="1:16" ht="15.75" customHeight="1" x14ac:dyDescent="0.3">
      <c r="A106" s="5">
        <v>45541</v>
      </c>
      <c r="B106" s="4" t="s">
        <v>102</v>
      </c>
      <c r="C106" s="4" t="s">
        <v>103</v>
      </c>
      <c r="D106" s="4" t="s">
        <v>29</v>
      </c>
      <c r="E106" s="4" t="s">
        <v>30</v>
      </c>
      <c r="F106" s="4" t="s">
        <v>31</v>
      </c>
      <c r="G106" s="4">
        <v>3</v>
      </c>
      <c r="H106" s="4">
        <v>59.99</v>
      </c>
      <c r="I106" s="4" t="s">
        <v>25</v>
      </c>
      <c r="J106" s="4" t="s">
        <v>21</v>
      </c>
      <c r="K106" s="4" t="s">
        <v>26</v>
      </c>
      <c r="L106" s="5">
        <v>44717</v>
      </c>
      <c r="M106" s="4">
        <v>179.97</v>
      </c>
      <c r="N106">
        <f t="shared" si="3"/>
        <v>2024</v>
      </c>
      <c r="O106">
        <f t="shared" si="4"/>
        <v>9</v>
      </c>
      <c r="P106" t="str">
        <f t="shared" si="5"/>
        <v>2024-09</v>
      </c>
    </row>
    <row r="107" spans="1:16" ht="15.75" customHeight="1" x14ac:dyDescent="0.3">
      <c r="A107" s="5">
        <v>45544</v>
      </c>
      <c r="B107" s="4" t="s">
        <v>100</v>
      </c>
      <c r="C107" s="4" t="s">
        <v>101</v>
      </c>
      <c r="D107" s="4" t="s">
        <v>29</v>
      </c>
      <c r="E107" s="4" t="s">
        <v>30</v>
      </c>
      <c r="F107" s="4" t="s">
        <v>31</v>
      </c>
      <c r="G107" s="4">
        <v>3</v>
      </c>
      <c r="H107" s="4">
        <v>59.99</v>
      </c>
      <c r="I107" s="4" t="s">
        <v>32</v>
      </c>
      <c r="J107" s="4" t="s">
        <v>55</v>
      </c>
      <c r="K107" s="4" t="s">
        <v>34</v>
      </c>
      <c r="L107" s="5">
        <v>44748</v>
      </c>
      <c r="M107" s="4">
        <v>179.97</v>
      </c>
      <c r="N107">
        <f t="shared" si="3"/>
        <v>2024</v>
      </c>
      <c r="O107">
        <f t="shared" si="4"/>
        <v>9</v>
      </c>
      <c r="P107" t="str">
        <f t="shared" si="5"/>
        <v>2024-09</v>
      </c>
    </row>
    <row r="108" spans="1:16" ht="15.75" customHeight="1" x14ac:dyDescent="0.3">
      <c r="A108" s="5">
        <v>45544</v>
      </c>
      <c r="B108" s="4" t="s">
        <v>104</v>
      </c>
      <c r="C108" s="4" t="s">
        <v>105</v>
      </c>
      <c r="D108" s="4" t="s">
        <v>88</v>
      </c>
      <c r="E108" s="4" t="s">
        <v>89</v>
      </c>
      <c r="F108" s="4" t="s">
        <v>31</v>
      </c>
      <c r="G108" s="4">
        <v>4</v>
      </c>
      <c r="H108" s="4">
        <v>79.989999999999995</v>
      </c>
      <c r="I108" s="4" t="s">
        <v>20</v>
      </c>
      <c r="J108" s="4" t="s">
        <v>37</v>
      </c>
      <c r="K108" s="4" t="s">
        <v>22</v>
      </c>
      <c r="L108" s="5">
        <v>44530</v>
      </c>
      <c r="M108" s="4">
        <v>319.95999999999998</v>
      </c>
      <c r="N108">
        <f t="shared" si="3"/>
        <v>2024</v>
      </c>
      <c r="O108">
        <f t="shared" si="4"/>
        <v>9</v>
      </c>
      <c r="P108" t="str">
        <f t="shared" si="5"/>
        <v>2024-09</v>
      </c>
    </row>
    <row r="109" spans="1:16" ht="15.75" customHeight="1" x14ac:dyDescent="0.3">
      <c r="A109" s="5">
        <v>45545</v>
      </c>
      <c r="B109" s="4" t="s">
        <v>48</v>
      </c>
      <c r="C109" s="4" t="s">
        <v>49</v>
      </c>
      <c r="D109" s="4" t="s">
        <v>88</v>
      </c>
      <c r="E109" s="4" t="s">
        <v>89</v>
      </c>
      <c r="F109" s="4" t="s">
        <v>31</v>
      </c>
      <c r="G109" s="4">
        <v>1</v>
      </c>
      <c r="H109" s="4">
        <v>79.989999999999995</v>
      </c>
      <c r="I109" s="4" t="s">
        <v>20</v>
      </c>
      <c r="J109" s="4" t="s">
        <v>45</v>
      </c>
      <c r="K109" s="4" t="s">
        <v>22</v>
      </c>
      <c r="L109" s="5">
        <v>44693</v>
      </c>
      <c r="M109" s="4">
        <v>79.989999999999995</v>
      </c>
      <c r="N109">
        <f t="shared" si="3"/>
        <v>2024</v>
      </c>
      <c r="O109">
        <f t="shared" si="4"/>
        <v>9</v>
      </c>
      <c r="P109" t="str">
        <f t="shared" si="5"/>
        <v>2024-09</v>
      </c>
    </row>
    <row r="110" spans="1:16" ht="15.75" customHeight="1" x14ac:dyDescent="0.3">
      <c r="A110" s="5">
        <v>45547</v>
      </c>
      <c r="B110" s="4" t="s">
        <v>43</v>
      </c>
      <c r="C110" s="4" t="s">
        <v>44</v>
      </c>
      <c r="D110" s="4" t="s">
        <v>82</v>
      </c>
      <c r="E110" s="4" t="s">
        <v>83</v>
      </c>
      <c r="F110" s="4" t="s">
        <v>42</v>
      </c>
      <c r="G110" s="4">
        <v>3</v>
      </c>
      <c r="H110" s="4">
        <v>299.99</v>
      </c>
      <c r="I110" s="4" t="s">
        <v>25</v>
      </c>
      <c r="J110" s="4" t="s">
        <v>21</v>
      </c>
      <c r="K110" s="4" t="s">
        <v>26</v>
      </c>
      <c r="L110" s="5">
        <v>44494</v>
      </c>
      <c r="M110" s="4">
        <v>899.97</v>
      </c>
      <c r="N110">
        <f t="shared" si="3"/>
        <v>2024</v>
      </c>
      <c r="O110">
        <f t="shared" si="4"/>
        <v>9</v>
      </c>
      <c r="P110" t="str">
        <f t="shared" si="5"/>
        <v>2024-09</v>
      </c>
    </row>
    <row r="111" spans="1:16" ht="15.75" customHeight="1" x14ac:dyDescent="0.3">
      <c r="A111" s="5">
        <v>45548</v>
      </c>
      <c r="B111" s="4" t="s">
        <v>35</v>
      </c>
      <c r="C111" s="4" t="s">
        <v>36</v>
      </c>
      <c r="D111" s="4" t="s">
        <v>90</v>
      </c>
      <c r="E111" s="4" t="s">
        <v>91</v>
      </c>
      <c r="F111" s="4" t="s">
        <v>19</v>
      </c>
      <c r="G111" s="4">
        <v>2</v>
      </c>
      <c r="H111" s="4">
        <v>89.99</v>
      </c>
      <c r="I111" s="4" t="s">
        <v>25</v>
      </c>
      <c r="J111" s="4" t="s">
        <v>33</v>
      </c>
      <c r="K111" s="4" t="s">
        <v>26</v>
      </c>
      <c r="L111" s="5">
        <v>44641</v>
      </c>
      <c r="M111" s="4">
        <v>179.98</v>
      </c>
      <c r="N111">
        <f t="shared" si="3"/>
        <v>2024</v>
      </c>
      <c r="O111">
        <f t="shared" si="4"/>
        <v>9</v>
      </c>
      <c r="P111" t="str">
        <f t="shared" si="5"/>
        <v>2024-09</v>
      </c>
    </row>
    <row r="112" spans="1:16" ht="15.75" customHeight="1" x14ac:dyDescent="0.3">
      <c r="A112" s="5">
        <v>45550</v>
      </c>
      <c r="B112" s="4" t="s">
        <v>136</v>
      </c>
      <c r="C112" s="4" t="s">
        <v>137</v>
      </c>
      <c r="D112" s="4" t="s">
        <v>46</v>
      </c>
      <c r="E112" s="4" t="s">
        <v>47</v>
      </c>
      <c r="F112" s="4" t="s">
        <v>19</v>
      </c>
      <c r="G112" s="4">
        <v>4</v>
      </c>
      <c r="H112" s="4">
        <v>149.99</v>
      </c>
      <c r="I112" s="4" t="s">
        <v>20</v>
      </c>
      <c r="J112" s="4" t="s">
        <v>37</v>
      </c>
      <c r="K112" s="4" t="s">
        <v>22</v>
      </c>
      <c r="L112" s="5">
        <v>44909</v>
      </c>
      <c r="M112" s="4">
        <v>599.96</v>
      </c>
      <c r="N112">
        <f t="shared" si="3"/>
        <v>2024</v>
      </c>
      <c r="O112">
        <f t="shared" si="4"/>
        <v>9</v>
      </c>
      <c r="P112" t="str">
        <f t="shared" si="5"/>
        <v>2024-09</v>
      </c>
    </row>
    <row r="113" spans="1:16" ht="15.75" customHeight="1" x14ac:dyDescent="0.3">
      <c r="A113" s="5">
        <v>45551</v>
      </c>
      <c r="B113" s="4" t="s">
        <v>56</v>
      </c>
      <c r="C113" s="4" t="s">
        <v>57</v>
      </c>
      <c r="D113" s="4" t="s">
        <v>17</v>
      </c>
      <c r="E113" s="4" t="s">
        <v>18</v>
      </c>
      <c r="F113" s="4" t="s">
        <v>19</v>
      </c>
      <c r="G113" s="4">
        <v>2</v>
      </c>
      <c r="H113" s="4">
        <v>249.99</v>
      </c>
      <c r="I113" s="4" t="s">
        <v>32</v>
      </c>
      <c r="J113" s="4" t="s">
        <v>33</v>
      </c>
      <c r="K113" s="4" t="s">
        <v>22</v>
      </c>
      <c r="L113" s="5">
        <v>44993</v>
      </c>
      <c r="M113" s="4">
        <v>499.98</v>
      </c>
      <c r="N113">
        <f t="shared" si="3"/>
        <v>2024</v>
      </c>
      <c r="O113">
        <f t="shared" si="4"/>
        <v>9</v>
      </c>
      <c r="P113" t="str">
        <f t="shared" si="5"/>
        <v>2024-09</v>
      </c>
    </row>
    <row r="114" spans="1:16" ht="15.75" customHeight="1" x14ac:dyDescent="0.3">
      <c r="A114" s="5">
        <v>45551</v>
      </c>
      <c r="B114" s="4" t="s">
        <v>112</v>
      </c>
      <c r="C114" s="4" t="s">
        <v>113</v>
      </c>
      <c r="D114" s="4" t="s">
        <v>96</v>
      </c>
      <c r="E114" s="4" t="s">
        <v>97</v>
      </c>
      <c r="F114" s="4" t="s">
        <v>42</v>
      </c>
      <c r="G114" s="4">
        <v>4</v>
      </c>
      <c r="H114" s="4">
        <v>199.99</v>
      </c>
      <c r="I114" s="4" t="s">
        <v>50</v>
      </c>
      <c r="J114" s="4" t="s">
        <v>55</v>
      </c>
      <c r="K114" s="4" t="s">
        <v>22</v>
      </c>
      <c r="L114" s="5">
        <v>44458</v>
      </c>
      <c r="M114" s="4">
        <v>799.96</v>
      </c>
      <c r="N114">
        <f t="shared" si="3"/>
        <v>2024</v>
      </c>
      <c r="O114">
        <f t="shared" si="4"/>
        <v>9</v>
      </c>
      <c r="P114" t="str">
        <f t="shared" si="5"/>
        <v>2024-09</v>
      </c>
    </row>
    <row r="115" spans="1:16" ht="15.75" customHeight="1" x14ac:dyDescent="0.3">
      <c r="A115" s="5">
        <v>45554</v>
      </c>
      <c r="B115" s="4" t="s">
        <v>108</v>
      </c>
      <c r="C115" s="4" t="s">
        <v>109</v>
      </c>
      <c r="D115" s="4" t="s">
        <v>90</v>
      </c>
      <c r="E115" s="4" t="s">
        <v>91</v>
      </c>
      <c r="F115" s="4" t="s">
        <v>19</v>
      </c>
      <c r="G115" s="4">
        <v>5</v>
      </c>
      <c r="H115" s="4">
        <v>89.99</v>
      </c>
      <c r="I115" s="4" t="s">
        <v>25</v>
      </c>
      <c r="J115" s="4" t="s">
        <v>55</v>
      </c>
      <c r="K115" s="4" t="s">
        <v>26</v>
      </c>
      <c r="L115" s="5">
        <v>44446</v>
      </c>
      <c r="M115" s="4">
        <v>449.95</v>
      </c>
      <c r="N115">
        <f t="shared" si="3"/>
        <v>2024</v>
      </c>
      <c r="O115">
        <f t="shared" si="4"/>
        <v>9</v>
      </c>
      <c r="P115" t="str">
        <f t="shared" si="5"/>
        <v>2024-09</v>
      </c>
    </row>
    <row r="116" spans="1:16" ht="15.75" customHeight="1" x14ac:dyDescent="0.3">
      <c r="A116" s="5">
        <v>45554</v>
      </c>
      <c r="B116" s="4" t="s">
        <v>138</v>
      </c>
      <c r="C116" s="4" t="s">
        <v>139</v>
      </c>
      <c r="D116" s="4" t="s">
        <v>46</v>
      </c>
      <c r="E116" s="4" t="s">
        <v>47</v>
      </c>
      <c r="F116" s="4" t="s">
        <v>19</v>
      </c>
      <c r="G116" s="4">
        <v>1</v>
      </c>
      <c r="H116" s="4">
        <v>149.99</v>
      </c>
      <c r="I116" s="4" t="s">
        <v>32</v>
      </c>
      <c r="J116" s="4" t="s">
        <v>55</v>
      </c>
      <c r="K116" s="4" t="s">
        <v>34</v>
      </c>
      <c r="L116" s="5">
        <v>44482</v>
      </c>
      <c r="M116" s="4">
        <v>149.99</v>
      </c>
      <c r="N116">
        <f t="shared" si="3"/>
        <v>2024</v>
      </c>
      <c r="O116">
        <f t="shared" si="4"/>
        <v>9</v>
      </c>
      <c r="P116" t="str">
        <f t="shared" si="5"/>
        <v>2024-09</v>
      </c>
    </row>
    <row r="117" spans="1:16" ht="15.75" customHeight="1" x14ac:dyDescent="0.3">
      <c r="A117" s="5">
        <v>45554</v>
      </c>
      <c r="B117" s="4" t="s">
        <v>60</v>
      </c>
      <c r="C117" s="4" t="s">
        <v>61</v>
      </c>
      <c r="D117" s="4" t="s">
        <v>66</v>
      </c>
      <c r="E117" s="4" t="s">
        <v>67</v>
      </c>
      <c r="F117" s="4" t="s">
        <v>19</v>
      </c>
      <c r="G117" s="4">
        <v>4</v>
      </c>
      <c r="H117" s="4">
        <v>699.99</v>
      </c>
      <c r="I117" s="4" t="s">
        <v>32</v>
      </c>
      <c r="J117" s="4" t="s">
        <v>33</v>
      </c>
      <c r="K117" s="4" t="s">
        <v>22</v>
      </c>
      <c r="L117" s="5">
        <v>44618</v>
      </c>
      <c r="M117" s="4">
        <v>2799.96</v>
      </c>
      <c r="N117">
        <f t="shared" si="3"/>
        <v>2024</v>
      </c>
      <c r="O117">
        <f t="shared" si="4"/>
        <v>9</v>
      </c>
      <c r="P117" t="str">
        <f t="shared" si="5"/>
        <v>2024-09</v>
      </c>
    </row>
    <row r="118" spans="1:16" ht="15.75" customHeight="1" x14ac:dyDescent="0.3">
      <c r="A118" s="5">
        <v>45559</v>
      </c>
      <c r="B118" s="4" t="s">
        <v>134</v>
      </c>
      <c r="C118" s="4" t="s">
        <v>135</v>
      </c>
      <c r="D118" s="4" t="s">
        <v>53</v>
      </c>
      <c r="E118" s="4" t="s">
        <v>54</v>
      </c>
      <c r="F118" s="4" t="s">
        <v>19</v>
      </c>
      <c r="G118" s="4">
        <v>3</v>
      </c>
      <c r="H118" s="4">
        <v>899.99</v>
      </c>
      <c r="I118" s="4" t="s">
        <v>25</v>
      </c>
      <c r="J118" s="4" t="s">
        <v>37</v>
      </c>
      <c r="K118" s="4" t="s">
        <v>34</v>
      </c>
      <c r="L118" s="5">
        <v>45157</v>
      </c>
      <c r="M118" s="4">
        <v>2699.97</v>
      </c>
      <c r="N118">
        <f t="shared" si="3"/>
        <v>2024</v>
      </c>
      <c r="O118">
        <f t="shared" si="4"/>
        <v>9</v>
      </c>
      <c r="P118" t="str">
        <f t="shared" si="5"/>
        <v>2024-09</v>
      </c>
    </row>
    <row r="119" spans="1:16" ht="15.75" customHeight="1" x14ac:dyDescent="0.3">
      <c r="A119" s="5">
        <v>45560</v>
      </c>
      <c r="B119" s="4" t="s">
        <v>86</v>
      </c>
      <c r="C119" s="4" t="s">
        <v>87</v>
      </c>
      <c r="D119" s="4" t="s">
        <v>40</v>
      </c>
      <c r="E119" s="4" t="s">
        <v>41</v>
      </c>
      <c r="F119" s="4" t="s">
        <v>42</v>
      </c>
      <c r="G119" s="4">
        <v>3</v>
      </c>
      <c r="H119" s="4">
        <v>149.99</v>
      </c>
      <c r="I119" s="4" t="s">
        <v>32</v>
      </c>
      <c r="J119" s="4" t="s">
        <v>55</v>
      </c>
      <c r="K119" s="4" t="s">
        <v>22</v>
      </c>
      <c r="L119" s="5">
        <v>44886</v>
      </c>
      <c r="M119" s="4">
        <v>449.97</v>
      </c>
      <c r="N119">
        <f t="shared" si="3"/>
        <v>2024</v>
      </c>
      <c r="O119">
        <f t="shared" si="4"/>
        <v>9</v>
      </c>
      <c r="P119" t="str">
        <f t="shared" si="5"/>
        <v>2024-09</v>
      </c>
    </row>
    <row r="120" spans="1:16" ht="15.75" customHeight="1" x14ac:dyDescent="0.3">
      <c r="A120" s="5">
        <v>45563</v>
      </c>
      <c r="B120" s="4" t="s">
        <v>78</v>
      </c>
      <c r="C120" s="4" t="s">
        <v>79</v>
      </c>
      <c r="D120" s="4" t="s">
        <v>82</v>
      </c>
      <c r="E120" s="4" t="s">
        <v>83</v>
      </c>
      <c r="F120" s="4" t="s">
        <v>42</v>
      </c>
      <c r="G120" s="4">
        <v>2</v>
      </c>
      <c r="H120" s="4">
        <v>299.99</v>
      </c>
      <c r="I120" s="4" t="s">
        <v>50</v>
      </c>
      <c r="J120" s="4" t="s">
        <v>21</v>
      </c>
      <c r="K120" s="4" t="s">
        <v>22</v>
      </c>
      <c r="L120" s="5">
        <v>44569</v>
      </c>
      <c r="M120" s="4">
        <v>599.98</v>
      </c>
      <c r="N120">
        <f t="shared" si="3"/>
        <v>2024</v>
      </c>
      <c r="O120">
        <f t="shared" si="4"/>
        <v>9</v>
      </c>
      <c r="P120" t="str">
        <f t="shared" si="5"/>
        <v>2024-09</v>
      </c>
    </row>
    <row r="121" spans="1:16" ht="15.75" customHeight="1" x14ac:dyDescent="0.3">
      <c r="A121" s="5">
        <v>45564</v>
      </c>
      <c r="B121" s="4" t="s">
        <v>140</v>
      </c>
      <c r="C121" s="4" t="s">
        <v>141</v>
      </c>
      <c r="D121" s="4" t="s">
        <v>96</v>
      </c>
      <c r="E121" s="4" t="s">
        <v>97</v>
      </c>
      <c r="F121" s="4" t="s">
        <v>42</v>
      </c>
      <c r="G121" s="4">
        <v>1</v>
      </c>
      <c r="H121" s="4">
        <v>199.99</v>
      </c>
      <c r="I121" s="4" t="s">
        <v>50</v>
      </c>
      <c r="J121" s="4" t="s">
        <v>55</v>
      </c>
      <c r="K121" s="4" t="s">
        <v>34</v>
      </c>
      <c r="L121" s="5">
        <v>44953</v>
      </c>
      <c r="M121" s="4">
        <v>199.99</v>
      </c>
      <c r="N121">
        <f t="shared" si="3"/>
        <v>2024</v>
      </c>
      <c r="O121">
        <f t="shared" si="4"/>
        <v>9</v>
      </c>
      <c r="P121" t="str">
        <f t="shared" si="5"/>
        <v>2024-09</v>
      </c>
    </row>
    <row r="122" spans="1:16" ht="15.75" customHeight="1" x14ac:dyDescent="0.3">
      <c r="A122" s="5">
        <v>45566</v>
      </c>
      <c r="B122" s="4" t="s">
        <v>38</v>
      </c>
      <c r="C122" s="4" t="s">
        <v>39</v>
      </c>
      <c r="D122" s="4" t="s">
        <v>82</v>
      </c>
      <c r="E122" s="4" t="s">
        <v>83</v>
      </c>
      <c r="F122" s="4" t="s">
        <v>42</v>
      </c>
      <c r="G122" s="4">
        <v>4</v>
      </c>
      <c r="H122" s="4">
        <v>299.99</v>
      </c>
      <c r="I122" s="4" t="s">
        <v>20</v>
      </c>
      <c r="J122" s="4" t="s">
        <v>21</v>
      </c>
      <c r="K122" s="4" t="s">
        <v>26</v>
      </c>
      <c r="L122" s="5">
        <v>44460</v>
      </c>
      <c r="M122" s="4">
        <v>1199.96</v>
      </c>
      <c r="N122">
        <f t="shared" si="3"/>
        <v>2024</v>
      </c>
      <c r="O122">
        <f t="shared" si="4"/>
        <v>10</v>
      </c>
      <c r="P122" t="str">
        <f t="shared" si="5"/>
        <v>2024-10</v>
      </c>
    </row>
    <row r="123" spans="1:16" ht="15.75" customHeight="1" x14ac:dyDescent="0.3">
      <c r="A123" s="5">
        <v>45572</v>
      </c>
      <c r="B123" s="4" t="s">
        <v>72</v>
      </c>
      <c r="C123" s="4" t="s">
        <v>73</v>
      </c>
      <c r="D123" s="4" t="s">
        <v>29</v>
      </c>
      <c r="E123" s="4" t="s">
        <v>30</v>
      </c>
      <c r="F123" s="4" t="s">
        <v>31</v>
      </c>
      <c r="G123" s="4">
        <v>2</v>
      </c>
      <c r="H123" s="4">
        <v>59.99</v>
      </c>
      <c r="I123" s="4" t="s">
        <v>25</v>
      </c>
      <c r="J123" s="4" t="s">
        <v>21</v>
      </c>
      <c r="K123" s="4" t="s">
        <v>22</v>
      </c>
      <c r="L123" s="5">
        <v>44579</v>
      </c>
      <c r="M123" s="4">
        <v>119.98</v>
      </c>
      <c r="N123">
        <f t="shared" si="3"/>
        <v>2024</v>
      </c>
      <c r="O123">
        <f t="shared" si="4"/>
        <v>10</v>
      </c>
      <c r="P123" t="str">
        <f t="shared" si="5"/>
        <v>2024-10</v>
      </c>
    </row>
    <row r="124" spans="1:16" ht="15.75" customHeight="1" x14ac:dyDescent="0.3">
      <c r="A124" s="5">
        <v>45572</v>
      </c>
      <c r="B124" s="4" t="s">
        <v>134</v>
      </c>
      <c r="C124" s="4" t="s">
        <v>135</v>
      </c>
      <c r="D124" s="4" t="s">
        <v>46</v>
      </c>
      <c r="E124" s="4" t="s">
        <v>47</v>
      </c>
      <c r="F124" s="4" t="s">
        <v>19</v>
      </c>
      <c r="G124" s="4">
        <v>4</v>
      </c>
      <c r="H124" s="4">
        <v>149.99</v>
      </c>
      <c r="I124" s="4" t="s">
        <v>25</v>
      </c>
      <c r="J124" s="4" t="s">
        <v>37</v>
      </c>
      <c r="K124" s="4" t="s">
        <v>26</v>
      </c>
      <c r="L124" s="5">
        <v>45076</v>
      </c>
      <c r="M124" s="4">
        <v>599.96</v>
      </c>
      <c r="N124">
        <f t="shared" si="3"/>
        <v>2024</v>
      </c>
      <c r="O124">
        <f t="shared" si="4"/>
        <v>10</v>
      </c>
      <c r="P124" t="str">
        <f t="shared" si="5"/>
        <v>2024-10</v>
      </c>
    </row>
    <row r="125" spans="1:16" ht="15.75" customHeight="1" x14ac:dyDescent="0.3">
      <c r="A125" s="5">
        <v>45573</v>
      </c>
      <c r="B125" s="4" t="s">
        <v>128</v>
      </c>
      <c r="C125" s="4" t="s">
        <v>129</v>
      </c>
      <c r="D125" s="4" t="s">
        <v>66</v>
      </c>
      <c r="E125" s="4" t="s">
        <v>67</v>
      </c>
      <c r="F125" s="4" t="s">
        <v>19</v>
      </c>
      <c r="G125" s="4">
        <v>2</v>
      </c>
      <c r="H125" s="4">
        <v>699.99</v>
      </c>
      <c r="I125" s="4" t="s">
        <v>50</v>
      </c>
      <c r="J125" s="4" t="s">
        <v>55</v>
      </c>
      <c r="K125" s="4" t="s">
        <v>26</v>
      </c>
      <c r="L125" s="5">
        <v>45274</v>
      </c>
      <c r="M125" s="4">
        <v>1399.98</v>
      </c>
      <c r="N125">
        <f t="shared" si="3"/>
        <v>2024</v>
      </c>
      <c r="O125">
        <f t="shared" si="4"/>
        <v>10</v>
      </c>
      <c r="P125" t="str">
        <f t="shared" si="5"/>
        <v>2024-10</v>
      </c>
    </row>
    <row r="126" spans="1:16" ht="15.75" customHeight="1" x14ac:dyDescent="0.3">
      <c r="A126" s="5">
        <v>45573</v>
      </c>
      <c r="B126" s="4" t="s">
        <v>132</v>
      </c>
      <c r="C126" s="4" t="s">
        <v>133</v>
      </c>
      <c r="D126" s="4" t="s">
        <v>40</v>
      </c>
      <c r="E126" s="4" t="s">
        <v>41</v>
      </c>
      <c r="F126" s="4" t="s">
        <v>42</v>
      </c>
      <c r="G126" s="4">
        <v>3</v>
      </c>
      <c r="H126" s="4">
        <v>149.99</v>
      </c>
      <c r="I126" s="4" t="s">
        <v>25</v>
      </c>
      <c r="J126" s="4" t="s">
        <v>33</v>
      </c>
      <c r="K126" s="4" t="s">
        <v>34</v>
      </c>
      <c r="L126" s="5">
        <v>44940</v>
      </c>
      <c r="M126" s="4">
        <v>449.97</v>
      </c>
      <c r="N126">
        <f t="shared" si="3"/>
        <v>2024</v>
      </c>
      <c r="O126">
        <f t="shared" si="4"/>
        <v>10</v>
      </c>
      <c r="P126" t="str">
        <f t="shared" si="5"/>
        <v>2024-10</v>
      </c>
    </row>
    <row r="127" spans="1:16" ht="15.75" customHeight="1" x14ac:dyDescent="0.3">
      <c r="A127" s="5">
        <v>45576</v>
      </c>
      <c r="B127" s="4" t="s">
        <v>108</v>
      </c>
      <c r="C127" s="4" t="s">
        <v>109</v>
      </c>
      <c r="D127" s="4" t="s">
        <v>82</v>
      </c>
      <c r="E127" s="4" t="s">
        <v>83</v>
      </c>
      <c r="F127" s="4" t="s">
        <v>42</v>
      </c>
      <c r="G127" s="4">
        <v>3</v>
      </c>
      <c r="H127" s="4">
        <v>299.99</v>
      </c>
      <c r="I127" s="4" t="s">
        <v>25</v>
      </c>
      <c r="J127" s="4" t="s">
        <v>21</v>
      </c>
      <c r="K127" s="4" t="s">
        <v>34</v>
      </c>
      <c r="L127" s="5">
        <v>45174</v>
      </c>
      <c r="M127" s="4">
        <v>899.97</v>
      </c>
      <c r="N127">
        <f t="shared" si="3"/>
        <v>2024</v>
      </c>
      <c r="O127">
        <f t="shared" si="4"/>
        <v>10</v>
      </c>
      <c r="P127" t="str">
        <f t="shared" si="5"/>
        <v>2024-10</v>
      </c>
    </row>
    <row r="128" spans="1:16" ht="15.75" customHeight="1" x14ac:dyDescent="0.3">
      <c r="A128" s="5">
        <v>45579</v>
      </c>
      <c r="B128" s="4" t="s">
        <v>68</v>
      </c>
      <c r="C128" s="4" t="s">
        <v>69</v>
      </c>
      <c r="D128" s="4" t="s">
        <v>53</v>
      </c>
      <c r="E128" s="4" t="s">
        <v>54</v>
      </c>
      <c r="F128" s="4" t="s">
        <v>19</v>
      </c>
      <c r="G128" s="4">
        <v>3</v>
      </c>
      <c r="H128" s="4">
        <v>899.99</v>
      </c>
      <c r="I128" s="4" t="s">
        <v>32</v>
      </c>
      <c r="J128" s="4" t="s">
        <v>45</v>
      </c>
      <c r="K128" s="4" t="s">
        <v>22</v>
      </c>
      <c r="L128" s="5">
        <v>45215</v>
      </c>
      <c r="M128" s="4">
        <v>2699.97</v>
      </c>
      <c r="N128">
        <f t="shared" si="3"/>
        <v>2024</v>
      </c>
      <c r="O128">
        <f t="shared" si="4"/>
        <v>10</v>
      </c>
      <c r="P128" t="str">
        <f t="shared" si="5"/>
        <v>2024-10</v>
      </c>
    </row>
    <row r="129" spans="1:16" ht="15.75" customHeight="1" x14ac:dyDescent="0.3">
      <c r="A129" s="5">
        <v>45581</v>
      </c>
      <c r="B129" s="4" t="s">
        <v>76</v>
      </c>
      <c r="C129" s="4" t="s">
        <v>77</v>
      </c>
      <c r="D129" s="4" t="s">
        <v>66</v>
      </c>
      <c r="E129" s="4" t="s">
        <v>67</v>
      </c>
      <c r="F129" s="4" t="s">
        <v>19</v>
      </c>
      <c r="G129" s="4">
        <v>5</v>
      </c>
      <c r="H129" s="4">
        <v>699.99</v>
      </c>
      <c r="I129" s="4" t="s">
        <v>20</v>
      </c>
      <c r="J129" s="4" t="s">
        <v>55</v>
      </c>
      <c r="K129" s="4" t="s">
        <v>34</v>
      </c>
      <c r="L129" s="5">
        <v>45008</v>
      </c>
      <c r="M129" s="4">
        <v>3499.95</v>
      </c>
      <c r="N129">
        <f t="shared" si="3"/>
        <v>2024</v>
      </c>
      <c r="O129">
        <f t="shared" si="4"/>
        <v>10</v>
      </c>
      <c r="P129" t="str">
        <f t="shared" si="5"/>
        <v>2024-10</v>
      </c>
    </row>
    <row r="130" spans="1:16" ht="15.75" customHeight="1" x14ac:dyDescent="0.3">
      <c r="A130" s="5">
        <v>45581</v>
      </c>
      <c r="B130" s="4" t="s">
        <v>118</v>
      </c>
      <c r="C130" s="4" t="s">
        <v>119</v>
      </c>
      <c r="D130" s="4" t="s">
        <v>66</v>
      </c>
      <c r="E130" s="4" t="s">
        <v>67</v>
      </c>
      <c r="F130" s="4" t="s">
        <v>19</v>
      </c>
      <c r="G130" s="4">
        <v>4</v>
      </c>
      <c r="H130" s="4">
        <v>699.99</v>
      </c>
      <c r="I130" s="4" t="s">
        <v>25</v>
      </c>
      <c r="J130" s="4" t="s">
        <v>21</v>
      </c>
      <c r="K130" s="4" t="s">
        <v>22</v>
      </c>
      <c r="L130" s="5">
        <v>45385</v>
      </c>
      <c r="M130" s="4">
        <v>2799.96</v>
      </c>
      <c r="N130">
        <f t="shared" si="3"/>
        <v>2024</v>
      </c>
      <c r="O130">
        <f t="shared" si="4"/>
        <v>10</v>
      </c>
      <c r="P130" t="str">
        <f t="shared" si="5"/>
        <v>2024-10</v>
      </c>
    </row>
    <row r="131" spans="1:16" ht="15.75" customHeight="1" x14ac:dyDescent="0.3">
      <c r="A131" s="5">
        <v>45581</v>
      </c>
      <c r="B131" s="4" t="s">
        <v>110</v>
      </c>
      <c r="C131" s="4" t="s">
        <v>111</v>
      </c>
      <c r="D131" s="4" t="s">
        <v>53</v>
      </c>
      <c r="E131" s="4" t="s">
        <v>54</v>
      </c>
      <c r="F131" s="4" t="s">
        <v>19</v>
      </c>
      <c r="G131" s="4">
        <v>1</v>
      </c>
      <c r="H131" s="4">
        <v>899.99</v>
      </c>
      <c r="I131" s="4" t="s">
        <v>25</v>
      </c>
      <c r="J131" s="4" t="s">
        <v>55</v>
      </c>
      <c r="K131" s="4" t="s">
        <v>34</v>
      </c>
      <c r="L131" s="5">
        <v>45369</v>
      </c>
      <c r="M131" s="4">
        <v>899.99</v>
      </c>
      <c r="N131">
        <f t="shared" ref="N131:N194" si="6">YEAR(A131)</f>
        <v>2024</v>
      </c>
      <c r="O131">
        <f t="shared" ref="O131:O194" si="7">MONTH(A131)</f>
        <v>10</v>
      </c>
      <c r="P131" t="str">
        <f t="shared" ref="P131:P194" si="8">TEXT(A131,"yyyy-mm")</f>
        <v>2024-10</v>
      </c>
    </row>
    <row r="132" spans="1:16" ht="15.75" customHeight="1" x14ac:dyDescent="0.3">
      <c r="A132" s="5">
        <v>45583</v>
      </c>
      <c r="B132" s="4" t="s">
        <v>130</v>
      </c>
      <c r="C132" s="4" t="s">
        <v>131</v>
      </c>
      <c r="D132" s="4" t="s">
        <v>46</v>
      </c>
      <c r="E132" s="4" t="s">
        <v>47</v>
      </c>
      <c r="F132" s="4" t="s">
        <v>19</v>
      </c>
      <c r="G132" s="4">
        <v>2</v>
      </c>
      <c r="H132" s="4">
        <v>149.99</v>
      </c>
      <c r="I132" s="4" t="s">
        <v>25</v>
      </c>
      <c r="J132" s="4" t="s">
        <v>45</v>
      </c>
      <c r="K132" s="4" t="s">
        <v>22</v>
      </c>
      <c r="L132" s="5">
        <v>44916</v>
      </c>
      <c r="M132" s="4">
        <v>299.98</v>
      </c>
      <c r="N132">
        <f t="shared" si="6"/>
        <v>2024</v>
      </c>
      <c r="O132">
        <f t="shared" si="7"/>
        <v>10</v>
      </c>
      <c r="P132" t="str">
        <f t="shared" si="8"/>
        <v>2024-10</v>
      </c>
    </row>
    <row r="133" spans="1:16" ht="15.75" customHeight="1" x14ac:dyDescent="0.3">
      <c r="A133" s="5">
        <v>45586</v>
      </c>
      <c r="B133" s="4" t="s">
        <v>130</v>
      </c>
      <c r="C133" s="4" t="s">
        <v>131</v>
      </c>
      <c r="D133" s="4" t="s">
        <v>90</v>
      </c>
      <c r="E133" s="4" t="s">
        <v>91</v>
      </c>
      <c r="F133" s="4" t="s">
        <v>19</v>
      </c>
      <c r="G133" s="4">
        <v>3</v>
      </c>
      <c r="H133" s="4">
        <v>89.99</v>
      </c>
      <c r="I133" s="4" t="s">
        <v>32</v>
      </c>
      <c r="J133" s="4" t="s">
        <v>21</v>
      </c>
      <c r="K133" s="4" t="s">
        <v>22</v>
      </c>
      <c r="L133" s="5">
        <v>44551</v>
      </c>
      <c r="M133" s="4">
        <v>269.97000000000003</v>
      </c>
      <c r="N133">
        <f t="shared" si="6"/>
        <v>2024</v>
      </c>
      <c r="O133">
        <f t="shared" si="7"/>
        <v>10</v>
      </c>
      <c r="P133" t="str">
        <f t="shared" si="8"/>
        <v>2024-10</v>
      </c>
    </row>
    <row r="134" spans="1:16" ht="15.75" customHeight="1" x14ac:dyDescent="0.3">
      <c r="A134" s="5">
        <v>45588</v>
      </c>
      <c r="B134" s="4" t="s">
        <v>35</v>
      </c>
      <c r="C134" s="4" t="s">
        <v>36</v>
      </c>
      <c r="D134" s="4" t="s">
        <v>46</v>
      </c>
      <c r="E134" s="4" t="s">
        <v>47</v>
      </c>
      <c r="F134" s="4" t="s">
        <v>19</v>
      </c>
      <c r="G134" s="4">
        <v>2</v>
      </c>
      <c r="H134" s="4">
        <v>149.99</v>
      </c>
      <c r="I134" s="4" t="s">
        <v>32</v>
      </c>
      <c r="J134" s="4" t="s">
        <v>21</v>
      </c>
      <c r="K134" s="4" t="s">
        <v>22</v>
      </c>
      <c r="L134" s="5">
        <v>44473</v>
      </c>
      <c r="M134" s="4">
        <v>299.98</v>
      </c>
      <c r="N134">
        <f t="shared" si="6"/>
        <v>2024</v>
      </c>
      <c r="O134">
        <f t="shared" si="7"/>
        <v>10</v>
      </c>
      <c r="P134" t="str">
        <f t="shared" si="8"/>
        <v>2024-10</v>
      </c>
    </row>
    <row r="135" spans="1:16" ht="15.75" customHeight="1" x14ac:dyDescent="0.3">
      <c r="A135" s="5">
        <v>45588</v>
      </c>
      <c r="B135" s="4" t="s">
        <v>112</v>
      </c>
      <c r="C135" s="4" t="s">
        <v>113</v>
      </c>
      <c r="D135" s="4" t="s">
        <v>66</v>
      </c>
      <c r="E135" s="4" t="s">
        <v>67</v>
      </c>
      <c r="F135" s="4" t="s">
        <v>19</v>
      </c>
      <c r="G135" s="4">
        <v>2</v>
      </c>
      <c r="H135" s="4">
        <v>699.99</v>
      </c>
      <c r="I135" s="4" t="s">
        <v>20</v>
      </c>
      <c r="J135" s="4" t="s">
        <v>21</v>
      </c>
      <c r="K135" s="4" t="s">
        <v>22</v>
      </c>
      <c r="L135" s="5">
        <v>44992</v>
      </c>
      <c r="M135" s="4">
        <v>1399.98</v>
      </c>
      <c r="N135">
        <f t="shared" si="6"/>
        <v>2024</v>
      </c>
      <c r="O135">
        <f t="shared" si="7"/>
        <v>10</v>
      </c>
      <c r="P135" t="str">
        <f t="shared" si="8"/>
        <v>2024-10</v>
      </c>
    </row>
    <row r="136" spans="1:16" ht="15.75" customHeight="1" x14ac:dyDescent="0.3">
      <c r="A136" s="5">
        <v>45589</v>
      </c>
      <c r="B136" s="4" t="s">
        <v>114</v>
      </c>
      <c r="C136" s="4" t="s">
        <v>115</v>
      </c>
      <c r="D136" s="4" t="s">
        <v>66</v>
      </c>
      <c r="E136" s="4" t="s">
        <v>67</v>
      </c>
      <c r="F136" s="4" t="s">
        <v>19</v>
      </c>
      <c r="G136" s="4">
        <v>5</v>
      </c>
      <c r="H136" s="4">
        <v>699.99</v>
      </c>
      <c r="I136" s="4" t="s">
        <v>20</v>
      </c>
      <c r="J136" s="4" t="s">
        <v>37</v>
      </c>
      <c r="K136" s="4" t="s">
        <v>26</v>
      </c>
      <c r="L136" s="5">
        <v>44635</v>
      </c>
      <c r="M136" s="4">
        <v>3499.95</v>
      </c>
      <c r="N136">
        <f t="shared" si="6"/>
        <v>2024</v>
      </c>
      <c r="O136">
        <f t="shared" si="7"/>
        <v>10</v>
      </c>
      <c r="P136" t="str">
        <f t="shared" si="8"/>
        <v>2024-10</v>
      </c>
    </row>
    <row r="137" spans="1:16" ht="15.75" customHeight="1" x14ac:dyDescent="0.3">
      <c r="A137" s="5">
        <v>45592</v>
      </c>
      <c r="B137" s="4" t="s">
        <v>118</v>
      </c>
      <c r="C137" s="4" t="s">
        <v>119</v>
      </c>
      <c r="D137" s="4" t="s">
        <v>90</v>
      </c>
      <c r="E137" s="4" t="s">
        <v>91</v>
      </c>
      <c r="F137" s="4" t="s">
        <v>19</v>
      </c>
      <c r="G137" s="4">
        <v>3</v>
      </c>
      <c r="H137" s="4">
        <v>89.99</v>
      </c>
      <c r="I137" s="4" t="s">
        <v>25</v>
      </c>
      <c r="J137" s="4" t="s">
        <v>37</v>
      </c>
      <c r="K137" s="4" t="s">
        <v>34</v>
      </c>
      <c r="L137" s="5">
        <v>44615</v>
      </c>
      <c r="M137" s="4">
        <v>269.97000000000003</v>
      </c>
      <c r="N137">
        <f t="shared" si="6"/>
        <v>2024</v>
      </c>
      <c r="O137">
        <f t="shared" si="7"/>
        <v>10</v>
      </c>
      <c r="P137" t="str">
        <f t="shared" si="8"/>
        <v>2024-10</v>
      </c>
    </row>
    <row r="138" spans="1:16" ht="15.75" customHeight="1" x14ac:dyDescent="0.3">
      <c r="A138" s="5">
        <v>45597</v>
      </c>
      <c r="B138" s="4" t="s">
        <v>15</v>
      </c>
      <c r="C138" s="4" t="s">
        <v>16</v>
      </c>
      <c r="D138" s="4" t="s">
        <v>17</v>
      </c>
      <c r="E138" s="4" t="s">
        <v>18</v>
      </c>
      <c r="F138" s="4" t="s">
        <v>19</v>
      </c>
      <c r="G138" s="4">
        <v>5</v>
      </c>
      <c r="H138" s="4">
        <v>249.99</v>
      </c>
      <c r="I138" s="4" t="s">
        <v>25</v>
      </c>
      <c r="J138" s="4" t="s">
        <v>33</v>
      </c>
      <c r="K138" s="4" t="s">
        <v>34</v>
      </c>
      <c r="L138" s="5">
        <v>44881</v>
      </c>
      <c r="M138" s="4">
        <v>1249.95</v>
      </c>
      <c r="N138">
        <f t="shared" si="6"/>
        <v>2024</v>
      </c>
      <c r="O138">
        <f t="shared" si="7"/>
        <v>11</v>
      </c>
      <c r="P138" t="str">
        <f t="shared" si="8"/>
        <v>2024-11</v>
      </c>
    </row>
    <row r="139" spans="1:16" ht="15.75" customHeight="1" x14ac:dyDescent="0.3">
      <c r="A139" s="5">
        <v>45600</v>
      </c>
      <c r="B139" s="4" t="s">
        <v>56</v>
      </c>
      <c r="C139" s="4" t="s">
        <v>57</v>
      </c>
      <c r="D139" s="4" t="s">
        <v>82</v>
      </c>
      <c r="E139" s="4" t="s">
        <v>83</v>
      </c>
      <c r="F139" s="4" t="s">
        <v>42</v>
      </c>
      <c r="G139" s="4">
        <v>3</v>
      </c>
      <c r="H139" s="4">
        <v>299.99</v>
      </c>
      <c r="I139" s="4" t="s">
        <v>25</v>
      </c>
      <c r="J139" s="4" t="s">
        <v>33</v>
      </c>
      <c r="K139" s="4" t="s">
        <v>34</v>
      </c>
      <c r="L139" s="5">
        <v>44502</v>
      </c>
      <c r="M139" s="4">
        <v>899.97</v>
      </c>
      <c r="N139">
        <f t="shared" si="6"/>
        <v>2024</v>
      </c>
      <c r="O139">
        <f t="shared" si="7"/>
        <v>11</v>
      </c>
      <c r="P139" t="str">
        <f t="shared" si="8"/>
        <v>2024-11</v>
      </c>
    </row>
    <row r="140" spans="1:16" ht="15.75" customHeight="1" x14ac:dyDescent="0.3">
      <c r="A140" s="5">
        <v>45603</v>
      </c>
      <c r="B140" s="4" t="s">
        <v>78</v>
      </c>
      <c r="C140" s="4" t="s">
        <v>79</v>
      </c>
      <c r="D140" s="4" t="s">
        <v>90</v>
      </c>
      <c r="E140" s="4" t="s">
        <v>91</v>
      </c>
      <c r="F140" s="4" t="s">
        <v>19</v>
      </c>
      <c r="G140" s="4">
        <v>3</v>
      </c>
      <c r="H140" s="4">
        <v>89.99</v>
      </c>
      <c r="I140" s="4" t="s">
        <v>25</v>
      </c>
      <c r="J140" s="4" t="s">
        <v>37</v>
      </c>
      <c r="K140" s="4" t="s">
        <v>26</v>
      </c>
      <c r="L140" s="5">
        <v>44420</v>
      </c>
      <c r="M140" s="4">
        <v>269.97000000000003</v>
      </c>
      <c r="N140">
        <f t="shared" si="6"/>
        <v>2024</v>
      </c>
      <c r="O140">
        <f t="shared" si="7"/>
        <v>11</v>
      </c>
      <c r="P140" t="str">
        <f t="shared" si="8"/>
        <v>2024-11</v>
      </c>
    </row>
    <row r="141" spans="1:16" ht="15.75" customHeight="1" x14ac:dyDescent="0.3">
      <c r="A141" s="5">
        <v>45604</v>
      </c>
      <c r="B141" s="4" t="s">
        <v>72</v>
      </c>
      <c r="C141" s="4" t="s">
        <v>73</v>
      </c>
      <c r="D141" s="4" t="s">
        <v>40</v>
      </c>
      <c r="E141" s="4" t="s">
        <v>41</v>
      </c>
      <c r="F141" s="4" t="s">
        <v>42</v>
      </c>
      <c r="G141" s="4">
        <v>2</v>
      </c>
      <c r="H141" s="4">
        <v>149.99</v>
      </c>
      <c r="I141" s="4" t="s">
        <v>25</v>
      </c>
      <c r="J141" s="4" t="s">
        <v>45</v>
      </c>
      <c r="K141" s="4" t="s">
        <v>26</v>
      </c>
      <c r="L141" s="5">
        <v>44848</v>
      </c>
      <c r="M141" s="4">
        <v>299.98</v>
      </c>
      <c r="N141">
        <f t="shared" si="6"/>
        <v>2024</v>
      </c>
      <c r="O141">
        <f t="shared" si="7"/>
        <v>11</v>
      </c>
      <c r="P141" t="str">
        <f t="shared" si="8"/>
        <v>2024-11</v>
      </c>
    </row>
    <row r="142" spans="1:16" ht="15.75" customHeight="1" x14ac:dyDescent="0.3">
      <c r="A142" s="5">
        <v>45605</v>
      </c>
      <c r="B142" s="4" t="s">
        <v>122</v>
      </c>
      <c r="C142" s="4" t="s">
        <v>123</v>
      </c>
      <c r="D142" s="4" t="s">
        <v>17</v>
      </c>
      <c r="E142" s="4" t="s">
        <v>18</v>
      </c>
      <c r="F142" s="4" t="s">
        <v>19</v>
      </c>
      <c r="G142" s="4">
        <v>1</v>
      </c>
      <c r="H142" s="4">
        <v>249.99</v>
      </c>
      <c r="I142" s="4" t="s">
        <v>25</v>
      </c>
      <c r="J142" s="4" t="s">
        <v>37</v>
      </c>
      <c r="K142" s="4" t="s">
        <v>26</v>
      </c>
      <c r="L142" s="5">
        <v>44828</v>
      </c>
      <c r="M142" s="4">
        <v>249.99</v>
      </c>
      <c r="N142">
        <f t="shared" si="6"/>
        <v>2024</v>
      </c>
      <c r="O142">
        <f t="shared" si="7"/>
        <v>11</v>
      </c>
      <c r="P142" t="str">
        <f t="shared" si="8"/>
        <v>2024-11</v>
      </c>
    </row>
    <row r="143" spans="1:16" ht="15.75" customHeight="1" x14ac:dyDescent="0.3">
      <c r="A143" s="5">
        <v>45607</v>
      </c>
      <c r="B143" s="4" t="s">
        <v>60</v>
      </c>
      <c r="C143" s="4" t="s">
        <v>61</v>
      </c>
      <c r="D143" s="4" t="s">
        <v>46</v>
      </c>
      <c r="E143" s="4" t="s">
        <v>47</v>
      </c>
      <c r="F143" s="4" t="s">
        <v>19</v>
      </c>
      <c r="G143" s="4">
        <v>3</v>
      </c>
      <c r="H143" s="4">
        <v>149.99</v>
      </c>
      <c r="I143" s="4" t="s">
        <v>20</v>
      </c>
      <c r="J143" s="4" t="s">
        <v>37</v>
      </c>
      <c r="K143" s="4" t="s">
        <v>22</v>
      </c>
      <c r="L143" s="5">
        <v>44769</v>
      </c>
      <c r="M143" s="4">
        <v>449.97</v>
      </c>
      <c r="N143">
        <f t="shared" si="6"/>
        <v>2024</v>
      </c>
      <c r="O143">
        <f t="shared" si="7"/>
        <v>11</v>
      </c>
      <c r="P143" t="str">
        <f t="shared" si="8"/>
        <v>2024-11</v>
      </c>
    </row>
    <row r="144" spans="1:16" ht="15.75" customHeight="1" x14ac:dyDescent="0.3">
      <c r="A144" s="5">
        <v>45607</v>
      </c>
      <c r="B144" s="4" t="s">
        <v>15</v>
      </c>
      <c r="C144" s="4" t="s">
        <v>16</v>
      </c>
      <c r="D144" s="4" t="s">
        <v>29</v>
      </c>
      <c r="E144" s="4" t="s">
        <v>30</v>
      </c>
      <c r="F144" s="4" t="s">
        <v>31</v>
      </c>
      <c r="G144" s="4">
        <v>5</v>
      </c>
      <c r="H144" s="4">
        <v>59.99</v>
      </c>
      <c r="I144" s="4" t="s">
        <v>32</v>
      </c>
      <c r="J144" s="4" t="s">
        <v>45</v>
      </c>
      <c r="K144" s="4" t="s">
        <v>26</v>
      </c>
      <c r="L144" s="5">
        <v>44694</v>
      </c>
      <c r="M144" s="4">
        <v>299.95</v>
      </c>
      <c r="N144">
        <f t="shared" si="6"/>
        <v>2024</v>
      </c>
      <c r="O144">
        <f t="shared" si="7"/>
        <v>11</v>
      </c>
      <c r="P144" t="str">
        <f t="shared" si="8"/>
        <v>2024-11</v>
      </c>
    </row>
    <row r="145" spans="1:16" ht="15.75" customHeight="1" x14ac:dyDescent="0.3">
      <c r="A145" s="5">
        <v>45607</v>
      </c>
      <c r="B145" s="4" t="s">
        <v>78</v>
      </c>
      <c r="C145" s="4" t="s">
        <v>79</v>
      </c>
      <c r="D145" s="4" t="s">
        <v>17</v>
      </c>
      <c r="E145" s="4" t="s">
        <v>18</v>
      </c>
      <c r="F145" s="4" t="s">
        <v>19</v>
      </c>
      <c r="G145" s="4">
        <v>4</v>
      </c>
      <c r="H145" s="4">
        <v>249.99</v>
      </c>
      <c r="I145" s="4" t="s">
        <v>25</v>
      </c>
      <c r="J145" s="4" t="s">
        <v>45</v>
      </c>
      <c r="K145" s="4" t="s">
        <v>34</v>
      </c>
      <c r="L145" s="5">
        <v>44659</v>
      </c>
      <c r="M145" s="4">
        <v>999.96</v>
      </c>
      <c r="N145">
        <f t="shared" si="6"/>
        <v>2024</v>
      </c>
      <c r="O145">
        <f t="shared" si="7"/>
        <v>11</v>
      </c>
      <c r="P145" t="str">
        <f t="shared" si="8"/>
        <v>2024-11</v>
      </c>
    </row>
    <row r="146" spans="1:16" ht="15.75" customHeight="1" x14ac:dyDescent="0.3">
      <c r="A146" s="5">
        <v>45608</v>
      </c>
      <c r="B146" s="4" t="s">
        <v>112</v>
      </c>
      <c r="C146" s="4" t="s">
        <v>113</v>
      </c>
      <c r="D146" s="4" t="s">
        <v>40</v>
      </c>
      <c r="E146" s="4" t="s">
        <v>41</v>
      </c>
      <c r="F146" s="4" t="s">
        <v>42</v>
      </c>
      <c r="G146" s="4">
        <v>5</v>
      </c>
      <c r="H146" s="4">
        <v>149.99</v>
      </c>
      <c r="I146" s="4" t="s">
        <v>32</v>
      </c>
      <c r="J146" s="4" t="s">
        <v>21</v>
      </c>
      <c r="K146" s="4" t="s">
        <v>22</v>
      </c>
      <c r="L146" s="5">
        <v>44901</v>
      </c>
      <c r="M146" s="4">
        <v>749.95</v>
      </c>
      <c r="N146">
        <f t="shared" si="6"/>
        <v>2024</v>
      </c>
      <c r="O146">
        <f t="shared" si="7"/>
        <v>11</v>
      </c>
      <c r="P146" t="str">
        <f t="shared" si="8"/>
        <v>2024-11</v>
      </c>
    </row>
    <row r="147" spans="1:16" ht="15.75" customHeight="1" x14ac:dyDescent="0.3">
      <c r="A147" s="5">
        <v>45608</v>
      </c>
      <c r="B147" s="4" t="s">
        <v>68</v>
      </c>
      <c r="C147" s="4" t="s">
        <v>69</v>
      </c>
      <c r="D147" s="4" t="s">
        <v>29</v>
      </c>
      <c r="E147" s="4" t="s">
        <v>30</v>
      </c>
      <c r="F147" s="4" t="s">
        <v>31</v>
      </c>
      <c r="G147" s="4">
        <v>3</v>
      </c>
      <c r="H147" s="4">
        <v>59.99</v>
      </c>
      <c r="I147" s="4" t="s">
        <v>50</v>
      </c>
      <c r="J147" s="4" t="s">
        <v>33</v>
      </c>
      <c r="K147" s="4" t="s">
        <v>34</v>
      </c>
      <c r="L147" s="5">
        <v>45260</v>
      </c>
      <c r="M147" s="4">
        <v>179.97</v>
      </c>
      <c r="N147">
        <f t="shared" si="6"/>
        <v>2024</v>
      </c>
      <c r="O147">
        <f t="shared" si="7"/>
        <v>11</v>
      </c>
      <c r="P147" t="str">
        <f t="shared" si="8"/>
        <v>2024-11</v>
      </c>
    </row>
    <row r="148" spans="1:16" ht="15.75" customHeight="1" x14ac:dyDescent="0.3">
      <c r="A148" s="5">
        <v>45613</v>
      </c>
      <c r="B148" s="4" t="s">
        <v>134</v>
      </c>
      <c r="C148" s="4" t="s">
        <v>135</v>
      </c>
      <c r="D148" s="4" t="s">
        <v>40</v>
      </c>
      <c r="E148" s="4" t="s">
        <v>41</v>
      </c>
      <c r="F148" s="4" t="s">
        <v>42</v>
      </c>
      <c r="G148" s="4">
        <v>5</v>
      </c>
      <c r="H148" s="4">
        <v>149.99</v>
      </c>
      <c r="I148" s="4" t="s">
        <v>20</v>
      </c>
      <c r="J148" s="4" t="s">
        <v>37</v>
      </c>
      <c r="K148" s="4" t="s">
        <v>22</v>
      </c>
      <c r="L148" s="5">
        <v>44869</v>
      </c>
      <c r="M148" s="4">
        <v>749.95</v>
      </c>
      <c r="N148">
        <f t="shared" si="6"/>
        <v>2024</v>
      </c>
      <c r="O148">
        <f t="shared" si="7"/>
        <v>11</v>
      </c>
      <c r="P148" t="str">
        <f t="shared" si="8"/>
        <v>2024-11</v>
      </c>
    </row>
    <row r="149" spans="1:16" ht="15.75" customHeight="1" x14ac:dyDescent="0.3">
      <c r="A149" s="5">
        <v>45613</v>
      </c>
      <c r="B149" s="4" t="s">
        <v>70</v>
      </c>
      <c r="C149" s="4" t="s">
        <v>71</v>
      </c>
      <c r="D149" s="4" t="s">
        <v>66</v>
      </c>
      <c r="E149" s="4" t="s">
        <v>67</v>
      </c>
      <c r="F149" s="4" t="s">
        <v>19</v>
      </c>
      <c r="G149" s="4">
        <v>2</v>
      </c>
      <c r="H149" s="4">
        <v>699.99</v>
      </c>
      <c r="I149" s="4" t="s">
        <v>32</v>
      </c>
      <c r="J149" s="4" t="s">
        <v>45</v>
      </c>
      <c r="K149" s="4" t="s">
        <v>34</v>
      </c>
      <c r="L149" s="5">
        <v>44770</v>
      </c>
      <c r="M149" s="4">
        <v>1399.98</v>
      </c>
      <c r="N149">
        <f t="shared" si="6"/>
        <v>2024</v>
      </c>
      <c r="O149">
        <f t="shared" si="7"/>
        <v>11</v>
      </c>
      <c r="P149" t="str">
        <f t="shared" si="8"/>
        <v>2024-11</v>
      </c>
    </row>
    <row r="150" spans="1:16" ht="15.75" customHeight="1" x14ac:dyDescent="0.3">
      <c r="A150" s="5">
        <v>45617</v>
      </c>
      <c r="B150" s="4" t="s">
        <v>94</v>
      </c>
      <c r="C150" s="4" t="s">
        <v>95</v>
      </c>
      <c r="D150" s="4" t="s">
        <v>96</v>
      </c>
      <c r="E150" s="4" t="s">
        <v>97</v>
      </c>
      <c r="F150" s="4" t="s">
        <v>42</v>
      </c>
      <c r="G150" s="4">
        <v>4</v>
      </c>
      <c r="H150" s="4">
        <v>199.99</v>
      </c>
      <c r="I150" s="4" t="s">
        <v>50</v>
      </c>
      <c r="J150" s="4" t="s">
        <v>21</v>
      </c>
      <c r="K150" s="4" t="s">
        <v>26</v>
      </c>
      <c r="L150" s="5">
        <v>44427</v>
      </c>
      <c r="M150" s="4">
        <v>799.96</v>
      </c>
      <c r="N150">
        <f t="shared" si="6"/>
        <v>2024</v>
      </c>
      <c r="O150">
        <f t="shared" si="7"/>
        <v>11</v>
      </c>
      <c r="P150" t="str">
        <f t="shared" si="8"/>
        <v>2024-11</v>
      </c>
    </row>
    <row r="151" spans="1:16" ht="15.75" customHeight="1" x14ac:dyDescent="0.3">
      <c r="A151" s="5">
        <v>45619</v>
      </c>
      <c r="B151" s="4" t="s">
        <v>124</v>
      </c>
      <c r="C151" s="4" t="s">
        <v>125</v>
      </c>
      <c r="D151" s="4" t="s">
        <v>29</v>
      </c>
      <c r="E151" s="4" t="s">
        <v>30</v>
      </c>
      <c r="F151" s="4" t="s">
        <v>31</v>
      </c>
      <c r="G151" s="4">
        <v>1</v>
      </c>
      <c r="H151" s="4">
        <v>59.99</v>
      </c>
      <c r="I151" s="4" t="s">
        <v>50</v>
      </c>
      <c r="J151" s="4" t="s">
        <v>45</v>
      </c>
      <c r="K151" s="4" t="s">
        <v>34</v>
      </c>
      <c r="L151" s="5">
        <v>44560</v>
      </c>
      <c r="M151" s="4">
        <v>59.99</v>
      </c>
      <c r="N151">
        <f t="shared" si="6"/>
        <v>2024</v>
      </c>
      <c r="O151">
        <f t="shared" si="7"/>
        <v>11</v>
      </c>
      <c r="P151" t="str">
        <f t="shared" si="8"/>
        <v>2024-11</v>
      </c>
    </row>
    <row r="152" spans="1:16" ht="15.75" customHeight="1" x14ac:dyDescent="0.3">
      <c r="A152" s="5">
        <v>45619</v>
      </c>
      <c r="B152" s="4" t="s">
        <v>112</v>
      </c>
      <c r="C152" s="4" t="s">
        <v>113</v>
      </c>
      <c r="D152" s="4" t="s">
        <v>66</v>
      </c>
      <c r="E152" s="4" t="s">
        <v>67</v>
      </c>
      <c r="F152" s="4" t="s">
        <v>19</v>
      </c>
      <c r="G152" s="4">
        <v>3</v>
      </c>
      <c r="H152" s="4">
        <v>699.99</v>
      </c>
      <c r="I152" s="4" t="s">
        <v>32</v>
      </c>
      <c r="J152" s="4" t="s">
        <v>45</v>
      </c>
      <c r="K152" s="4" t="s">
        <v>34</v>
      </c>
      <c r="L152" s="5">
        <v>44583</v>
      </c>
      <c r="M152" s="4">
        <v>2099.9699999999998</v>
      </c>
      <c r="N152">
        <f t="shared" si="6"/>
        <v>2024</v>
      </c>
      <c r="O152">
        <f t="shared" si="7"/>
        <v>11</v>
      </c>
      <c r="P152" t="str">
        <f t="shared" si="8"/>
        <v>2024-11</v>
      </c>
    </row>
    <row r="153" spans="1:16" ht="15.75" customHeight="1" x14ac:dyDescent="0.3">
      <c r="A153" s="5">
        <v>45622</v>
      </c>
      <c r="B153" s="4" t="s">
        <v>142</v>
      </c>
      <c r="C153" s="4" t="s">
        <v>143</v>
      </c>
      <c r="D153" s="4" t="s">
        <v>17</v>
      </c>
      <c r="E153" s="4" t="s">
        <v>18</v>
      </c>
      <c r="F153" s="4" t="s">
        <v>19</v>
      </c>
      <c r="G153" s="4">
        <v>5</v>
      </c>
      <c r="H153" s="4">
        <v>249.99</v>
      </c>
      <c r="I153" s="4" t="s">
        <v>25</v>
      </c>
      <c r="J153" s="4" t="s">
        <v>37</v>
      </c>
      <c r="K153" s="4" t="s">
        <v>22</v>
      </c>
      <c r="L153" s="5">
        <v>44873</v>
      </c>
      <c r="M153" s="4">
        <v>1249.95</v>
      </c>
      <c r="N153">
        <f t="shared" si="6"/>
        <v>2024</v>
      </c>
      <c r="O153">
        <f t="shared" si="7"/>
        <v>11</v>
      </c>
      <c r="P153" t="str">
        <f t="shared" si="8"/>
        <v>2024-11</v>
      </c>
    </row>
    <row r="154" spans="1:16" ht="15.75" customHeight="1" x14ac:dyDescent="0.3">
      <c r="A154" s="5">
        <v>45623</v>
      </c>
      <c r="B154" s="4" t="s">
        <v>86</v>
      </c>
      <c r="C154" s="4" t="s">
        <v>87</v>
      </c>
      <c r="D154" s="4" t="s">
        <v>40</v>
      </c>
      <c r="E154" s="4" t="s">
        <v>41</v>
      </c>
      <c r="F154" s="4" t="s">
        <v>42</v>
      </c>
      <c r="G154" s="4">
        <v>2</v>
      </c>
      <c r="H154" s="4">
        <v>149.99</v>
      </c>
      <c r="I154" s="4" t="s">
        <v>20</v>
      </c>
      <c r="J154" s="4" t="s">
        <v>33</v>
      </c>
      <c r="K154" s="4" t="s">
        <v>34</v>
      </c>
      <c r="L154" s="5">
        <v>45101</v>
      </c>
      <c r="M154" s="4">
        <v>299.98</v>
      </c>
      <c r="N154">
        <f t="shared" si="6"/>
        <v>2024</v>
      </c>
      <c r="O154">
        <f t="shared" si="7"/>
        <v>11</v>
      </c>
      <c r="P154" t="str">
        <f t="shared" si="8"/>
        <v>2024-11</v>
      </c>
    </row>
    <row r="155" spans="1:16" ht="15.75" customHeight="1" x14ac:dyDescent="0.3">
      <c r="A155" s="5">
        <v>45627</v>
      </c>
      <c r="B155" s="4" t="s">
        <v>27</v>
      </c>
      <c r="C155" s="4" t="s">
        <v>28</v>
      </c>
      <c r="D155" s="4" t="s">
        <v>82</v>
      </c>
      <c r="E155" s="4" t="s">
        <v>83</v>
      </c>
      <c r="F155" s="4" t="s">
        <v>42</v>
      </c>
      <c r="G155" s="4">
        <v>3</v>
      </c>
      <c r="H155" s="4">
        <v>299.99</v>
      </c>
      <c r="I155" s="4" t="s">
        <v>20</v>
      </c>
      <c r="J155" s="4" t="s">
        <v>33</v>
      </c>
      <c r="K155" s="4" t="s">
        <v>26</v>
      </c>
      <c r="L155" s="5">
        <v>44659</v>
      </c>
      <c r="M155" s="4">
        <v>899.97</v>
      </c>
      <c r="N155">
        <f t="shared" si="6"/>
        <v>2024</v>
      </c>
      <c r="O155">
        <f t="shared" si="7"/>
        <v>12</v>
      </c>
      <c r="P155" t="str">
        <f t="shared" si="8"/>
        <v>2024-12</v>
      </c>
    </row>
    <row r="156" spans="1:16" ht="15.75" customHeight="1" x14ac:dyDescent="0.3">
      <c r="A156" s="5">
        <v>45627</v>
      </c>
      <c r="B156" s="4" t="s">
        <v>48</v>
      </c>
      <c r="C156" s="4" t="s">
        <v>49</v>
      </c>
      <c r="D156" s="4" t="s">
        <v>17</v>
      </c>
      <c r="E156" s="4" t="s">
        <v>18</v>
      </c>
      <c r="F156" s="4" t="s">
        <v>19</v>
      </c>
      <c r="G156" s="4">
        <v>5</v>
      </c>
      <c r="H156" s="4">
        <v>249.99</v>
      </c>
      <c r="I156" s="4" t="s">
        <v>20</v>
      </c>
      <c r="J156" s="4" t="s">
        <v>21</v>
      </c>
      <c r="K156" s="4" t="s">
        <v>26</v>
      </c>
      <c r="L156" s="5">
        <v>44485</v>
      </c>
      <c r="M156" s="4">
        <v>1249.95</v>
      </c>
      <c r="N156">
        <f t="shared" si="6"/>
        <v>2024</v>
      </c>
      <c r="O156">
        <f t="shared" si="7"/>
        <v>12</v>
      </c>
      <c r="P156" t="str">
        <f t="shared" si="8"/>
        <v>2024-12</v>
      </c>
    </row>
    <row r="157" spans="1:16" ht="15.75" customHeight="1" x14ac:dyDescent="0.3">
      <c r="A157" s="5">
        <v>45627</v>
      </c>
      <c r="B157" s="4" t="s">
        <v>23</v>
      </c>
      <c r="C157" s="4" t="s">
        <v>24</v>
      </c>
      <c r="D157" s="4" t="s">
        <v>46</v>
      </c>
      <c r="E157" s="4" t="s">
        <v>47</v>
      </c>
      <c r="F157" s="4" t="s">
        <v>19</v>
      </c>
      <c r="G157" s="4">
        <v>2</v>
      </c>
      <c r="H157" s="4">
        <v>149.99</v>
      </c>
      <c r="I157" s="4" t="s">
        <v>20</v>
      </c>
      <c r="J157" s="4" t="s">
        <v>33</v>
      </c>
      <c r="K157" s="4" t="s">
        <v>26</v>
      </c>
      <c r="L157" s="5">
        <v>44475</v>
      </c>
      <c r="M157" s="4">
        <v>299.98</v>
      </c>
      <c r="N157">
        <f t="shared" si="6"/>
        <v>2024</v>
      </c>
      <c r="O157">
        <f t="shared" si="7"/>
        <v>12</v>
      </c>
      <c r="P157" t="str">
        <f t="shared" si="8"/>
        <v>2024-12</v>
      </c>
    </row>
    <row r="158" spans="1:16" ht="15.75" customHeight="1" x14ac:dyDescent="0.3">
      <c r="A158" s="5">
        <v>45627</v>
      </c>
      <c r="B158" s="4" t="s">
        <v>70</v>
      </c>
      <c r="C158" s="4" t="s">
        <v>71</v>
      </c>
      <c r="D158" s="4" t="s">
        <v>66</v>
      </c>
      <c r="E158" s="4" t="s">
        <v>67</v>
      </c>
      <c r="F158" s="4" t="s">
        <v>19</v>
      </c>
      <c r="G158" s="4">
        <v>5</v>
      </c>
      <c r="H158" s="4">
        <v>699.99</v>
      </c>
      <c r="I158" s="4" t="s">
        <v>50</v>
      </c>
      <c r="J158" s="4" t="s">
        <v>45</v>
      </c>
      <c r="K158" s="4" t="s">
        <v>34</v>
      </c>
      <c r="L158" s="5">
        <v>44944</v>
      </c>
      <c r="M158" s="4">
        <v>3499.95</v>
      </c>
      <c r="N158">
        <f t="shared" si="6"/>
        <v>2024</v>
      </c>
      <c r="O158">
        <f t="shared" si="7"/>
        <v>12</v>
      </c>
      <c r="P158" t="str">
        <f t="shared" si="8"/>
        <v>2024-12</v>
      </c>
    </row>
    <row r="159" spans="1:16" ht="15.75" customHeight="1" x14ac:dyDescent="0.3">
      <c r="A159" s="5">
        <v>45629</v>
      </c>
      <c r="B159" s="4" t="s">
        <v>138</v>
      </c>
      <c r="C159" s="4" t="s">
        <v>139</v>
      </c>
      <c r="D159" s="4" t="s">
        <v>17</v>
      </c>
      <c r="E159" s="4" t="s">
        <v>18</v>
      </c>
      <c r="F159" s="4" t="s">
        <v>19</v>
      </c>
      <c r="G159" s="4">
        <v>4</v>
      </c>
      <c r="H159" s="4">
        <v>249.99</v>
      </c>
      <c r="I159" s="4" t="s">
        <v>32</v>
      </c>
      <c r="J159" s="4" t="s">
        <v>55</v>
      </c>
      <c r="K159" s="4" t="s">
        <v>26</v>
      </c>
      <c r="L159" s="5">
        <v>45098</v>
      </c>
      <c r="M159" s="4">
        <v>999.96</v>
      </c>
      <c r="N159">
        <f t="shared" si="6"/>
        <v>2024</v>
      </c>
      <c r="O159">
        <f t="shared" si="7"/>
        <v>12</v>
      </c>
      <c r="P159" t="str">
        <f t="shared" si="8"/>
        <v>2024-12</v>
      </c>
    </row>
    <row r="160" spans="1:16" ht="15.75" customHeight="1" x14ac:dyDescent="0.3">
      <c r="A160" s="5">
        <v>45630</v>
      </c>
      <c r="B160" s="4" t="s">
        <v>43</v>
      </c>
      <c r="C160" s="4" t="s">
        <v>44</v>
      </c>
      <c r="D160" s="4" t="s">
        <v>66</v>
      </c>
      <c r="E160" s="4" t="s">
        <v>67</v>
      </c>
      <c r="F160" s="4" t="s">
        <v>19</v>
      </c>
      <c r="G160" s="4">
        <v>4</v>
      </c>
      <c r="H160" s="4">
        <v>699.99</v>
      </c>
      <c r="I160" s="4" t="s">
        <v>25</v>
      </c>
      <c r="J160" s="4" t="s">
        <v>37</v>
      </c>
      <c r="K160" s="4" t="s">
        <v>26</v>
      </c>
      <c r="L160" s="5">
        <v>44703</v>
      </c>
      <c r="M160" s="4">
        <v>2799.96</v>
      </c>
      <c r="N160">
        <f t="shared" si="6"/>
        <v>2024</v>
      </c>
      <c r="O160">
        <f t="shared" si="7"/>
        <v>12</v>
      </c>
      <c r="P160" t="str">
        <f t="shared" si="8"/>
        <v>2024-12</v>
      </c>
    </row>
    <row r="161" spans="1:16" ht="15.75" customHeight="1" x14ac:dyDescent="0.3">
      <c r="A161" s="5">
        <v>45635</v>
      </c>
      <c r="B161" s="4" t="s">
        <v>84</v>
      </c>
      <c r="C161" s="4" t="s">
        <v>85</v>
      </c>
      <c r="D161" s="4" t="s">
        <v>17</v>
      </c>
      <c r="E161" s="4" t="s">
        <v>18</v>
      </c>
      <c r="F161" s="4" t="s">
        <v>19</v>
      </c>
      <c r="G161" s="4">
        <v>2</v>
      </c>
      <c r="H161" s="4">
        <v>249.99</v>
      </c>
      <c r="I161" s="4" t="s">
        <v>25</v>
      </c>
      <c r="J161" s="4" t="s">
        <v>21</v>
      </c>
      <c r="K161" s="4" t="s">
        <v>26</v>
      </c>
      <c r="L161" s="5">
        <v>44396</v>
      </c>
      <c r="M161" s="4">
        <v>499.98</v>
      </c>
      <c r="N161">
        <f t="shared" si="6"/>
        <v>2024</v>
      </c>
      <c r="O161">
        <f t="shared" si="7"/>
        <v>12</v>
      </c>
      <c r="P161" t="str">
        <f t="shared" si="8"/>
        <v>2024-12</v>
      </c>
    </row>
    <row r="162" spans="1:16" ht="15.75" customHeight="1" x14ac:dyDescent="0.3">
      <c r="A162" s="5">
        <v>45635</v>
      </c>
      <c r="B162" s="4" t="s">
        <v>144</v>
      </c>
      <c r="C162" s="4" t="s">
        <v>145</v>
      </c>
      <c r="D162" s="4" t="s">
        <v>29</v>
      </c>
      <c r="E162" s="4" t="s">
        <v>30</v>
      </c>
      <c r="F162" s="4" t="s">
        <v>31</v>
      </c>
      <c r="G162" s="4">
        <v>3</v>
      </c>
      <c r="H162" s="4">
        <v>59.99</v>
      </c>
      <c r="I162" s="4" t="s">
        <v>20</v>
      </c>
      <c r="J162" s="4" t="s">
        <v>21</v>
      </c>
      <c r="K162" s="4" t="s">
        <v>26</v>
      </c>
      <c r="L162" s="5">
        <v>45052</v>
      </c>
      <c r="M162" s="4">
        <v>179.97</v>
      </c>
      <c r="N162">
        <f t="shared" si="6"/>
        <v>2024</v>
      </c>
      <c r="O162">
        <f t="shared" si="7"/>
        <v>12</v>
      </c>
      <c r="P162" t="str">
        <f t="shared" si="8"/>
        <v>2024-12</v>
      </c>
    </row>
    <row r="163" spans="1:16" ht="15.75" customHeight="1" x14ac:dyDescent="0.3">
      <c r="A163" s="5">
        <v>45635</v>
      </c>
      <c r="B163" s="4" t="s">
        <v>104</v>
      </c>
      <c r="C163" s="4" t="s">
        <v>105</v>
      </c>
      <c r="D163" s="4" t="s">
        <v>88</v>
      </c>
      <c r="E163" s="4" t="s">
        <v>89</v>
      </c>
      <c r="F163" s="4" t="s">
        <v>31</v>
      </c>
      <c r="G163" s="4">
        <v>4</v>
      </c>
      <c r="H163" s="4">
        <v>79.989999999999995</v>
      </c>
      <c r="I163" s="4" t="s">
        <v>50</v>
      </c>
      <c r="J163" s="4" t="s">
        <v>55</v>
      </c>
      <c r="K163" s="4" t="s">
        <v>34</v>
      </c>
      <c r="L163" s="5">
        <v>44921</v>
      </c>
      <c r="M163" s="4">
        <v>319.95999999999998</v>
      </c>
      <c r="N163">
        <f t="shared" si="6"/>
        <v>2024</v>
      </c>
      <c r="O163">
        <f t="shared" si="7"/>
        <v>12</v>
      </c>
      <c r="P163" t="str">
        <f t="shared" si="8"/>
        <v>2024-12</v>
      </c>
    </row>
    <row r="164" spans="1:16" ht="15.75" customHeight="1" x14ac:dyDescent="0.3">
      <c r="A164" s="5">
        <v>45636</v>
      </c>
      <c r="B164" s="4" t="s">
        <v>92</v>
      </c>
      <c r="C164" s="4" t="s">
        <v>93</v>
      </c>
      <c r="D164" s="4" t="s">
        <v>88</v>
      </c>
      <c r="E164" s="4" t="s">
        <v>89</v>
      </c>
      <c r="F164" s="4" t="s">
        <v>31</v>
      </c>
      <c r="G164" s="4">
        <v>3</v>
      </c>
      <c r="H164" s="4">
        <v>79.989999999999995</v>
      </c>
      <c r="I164" s="4" t="s">
        <v>50</v>
      </c>
      <c r="J164" s="4" t="s">
        <v>55</v>
      </c>
      <c r="K164" s="4" t="s">
        <v>34</v>
      </c>
      <c r="L164" s="5">
        <v>44779</v>
      </c>
      <c r="M164" s="4">
        <v>239.97</v>
      </c>
      <c r="N164">
        <f t="shared" si="6"/>
        <v>2024</v>
      </c>
      <c r="O164">
        <f t="shared" si="7"/>
        <v>12</v>
      </c>
      <c r="P164" t="str">
        <f t="shared" si="8"/>
        <v>2024-12</v>
      </c>
    </row>
    <row r="165" spans="1:16" ht="15.75" customHeight="1" x14ac:dyDescent="0.3">
      <c r="A165" s="5">
        <v>45638</v>
      </c>
      <c r="B165" s="4" t="s">
        <v>60</v>
      </c>
      <c r="C165" s="4" t="s">
        <v>61</v>
      </c>
      <c r="D165" s="4" t="s">
        <v>53</v>
      </c>
      <c r="E165" s="4" t="s">
        <v>54</v>
      </c>
      <c r="F165" s="4" t="s">
        <v>19</v>
      </c>
      <c r="G165" s="4">
        <v>2</v>
      </c>
      <c r="H165" s="4">
        <v>899.99</v>
      </c>
      <c r="I165" s="4" t="s">
        <v>20</v>
      </c>
      <c r="J165" s="4" t="s">
        <v>37</v>
      </c>
      <c r="K165" s="4" t="s">
        <v>22</v>
      </c>
      <c r="L165" s="5">
        <v>44406</v>
      </c>
      <c r="M165" s="4">
        <v>1799.98</v>
      </c>
      <c r="N165">
        <f t="shared" si="6"/>
        <v>2024</v>
      </c>
      <c r="O165">
        <f t="shared" si="7"/>
        <v>12</v>
      </c>
      <c r="P165" t="str">
        <f t="shared" si="8"/>
        <v>2024-12</v>
      </c>
    </row>
    <row r="166" spans="1:16" ht="15.75" customHeight="1" x14ac:dyDescent="0.3">
      <c r="A166" s="5">
        <v>45641</v>
      </c>
      <c r="B166" s="4" t="s">
        <v>120</v>
      </c>
      <c r="C166" s="4" t="s">
        <v>121</v>
      </c>
      <c r="D166" s="4" t="s">
        <v>40</v>
      </c>
      <c r="E166" s="4" t="s">
        <v>41</v>
      </c>
      <c r="F166" s="4" t="s">
        <v>42</v>
      </c>
      <c r="G166" s="4">
        <v>1</v>
      </c>
      <c r="H166" s="4">
        <v>149.99</v>
      </c>
      <c r="I166" s="4" t="s">
        <v>50</v>
      </c>
      <c r="J166" s="4" t="s">
        <v>55</v>
      </c>
      <c r="K166" s="4" t="s">
        <v>34</v>
      </c>
      <c r="L166" s="5">
        <v>45200</v>
      </c>
      <c r="M166" s="4">
        <v>149.99</v>
      </c>
      <c r="N166">
        <f t="shared" si="6"/>
        <v>2024</v>
      </c>
      <c r="O166">
        <f t="shared" si="7"/>
        <v>12</v>
      </c>
      <c r="P166" t="str">
        <f t="shared" si="8"/>
        <v>2024-12</v>
      </c>
    </row>
    <row r="167" spans="1:16" ht="15.75" customHeight="1" x14ac:dyDescent="0.3">
      <c r="A167" s="5">
        <v>45641</v>
      </c>
      <c r="B167" s="4" t="s">
        <v>102</v>
      </c>
      <c r="C167" s="4" t="s">
        <v>103</v>
      </c>
      <c r="D167" s="4" t="s">
        <v>82</v>
      </c>
      <c r="E167" s="4" t="s">
        <v>83</v>
      </c>
      <c r="F167" s="4" t="s">
        <v>42</v>
      </c>
      <c r="G167" s="4">
        <v>2</v>
      </c>
      <c r="H167" s="4">
        <v>299.99</v>
      </c>
      <c r="I167" s="4" t="s">
        <v>20</v>
      </c>
      <c r="J167" s="4" t="s">
        <v>55</v>
      </c>
      <c r="K167" s="4" t="s">
        <v>26</v>
      </c>
      <c r="L167" s="5">
        <v>44724</v>
      </c>
      <c r="M167" s="4">
        <v>599.98</v>
      </c>
      <c r="N167">
        <f t="shared" si="6"/>
        <v>2024</v>
      </c>
      <c r="O167">
        <f t="shared" si="7"/>
        <v>12</v>
      </c>
      <c r="P167" t="str">
        <f t="shared" si="8"/>
        <v>2024-12</v>
      </c>
    </row>
    <row r="168" spans="1:16" ht="15.75" customHeight="1" x14ac:dyDescent="0.3">
      <c r="A168" s="5">
        <v>45644</v>
      </c>
      <c r="B168" s="4" t="s">
        <v>100</v>
      </c>
      <c r="C168" s="4" t="s">
        <v>101</v>
      </c>
      <c r="D168" s="4" t="s">
        <v>29</v>
      </c>
      <c r="E168" s="4" t="s">
        <v>30</v>
      </c>
      <c r="F168" s="4" t="s">
        <v>31</v>
      </c>
      <c r="G168" s="4">
        <v>2</v>
      </c>
      <c r="H168" s="4">
        <v>59.99</v>
      </c>
      <c r="I168" s="4" t="s">
        <v>20</v>
      </c>
      <c r="J168" s="4" t="s">
        <v>45</v>
      </c>
      <c r="K168" s="4" t="s">
        <v>22</v>
      </c>
      <c r="L168" s="5">
        <v>45191</v>
      </c>
      <c r="M168" s="4">
        <v>119.98</v>
      </c>
      <c r="N168">
        <f t="shared" si="6"/>
        <v>2024</v>
      </c>
      <c r="O168">
        <f t="shared" si="7"/>
        <v>12</v>
      </c>
      <c r="P168" t="str">
        <f t="shared" si="8"/>
        <v>2024-12</v>
      </c>
    </row>
    <row r="169" spans="1:16" ht="15.75" customHeight="1" x14ac:dyDescent="0.3">
      <c r="A169" s="5">
        <v>45645</v>
      </c>
      <c r="B169" s="4" t="s">
        <v>120</v>
      </c>
      <c r="C169" s="4" t="s">
        <v>121</v>
      </c>
      <c r="D169" s="4" t="s">
        <v>90</v>
      </c>
      <c r="E169" s="4" t="s">
        <v>91</v>
      </c>
      <c r="F169" s="4" t="s">
        <v>19</v>
      </c>
      <c r="G169" s="4">
        <v>1</v>
      </c>
      <c r="H169" s="4">
        <v>89.99</v>
      </c>
      <c r="I169" s="4" t="s">
        <v>50</v>
      </c>
      <c r="J169" s="4" t="s">
        <v>21</v>
      </c>
      <c r="K169" s="4" t="s">
        <v>34</v>
      </c>
      <c r="L169" s="5">
        <v>44760</v>
      </c>
      <c r="M169" s="4">
        <v>89.99</v>
      </c>
      <c r="N169">
        <f t="shared" si="6"/>
        <v>2024</v>
      </c>
      <c r="O169">
        <f t="shared" si="7"/>
        <v>12</v>
      </c>
      <c r="P169" t="str">
        <f t="shared" si="8"/>
        <v>2024-12</v>
      </c>
    </row>
    <row r="170" spans="1:16" ht="15.75" customHeight="1" x14ac:dyDescent="0.3">
      <c r="A170" s="5">
        <v>45645</v>
      </c>
      <c r="B170" s="4" t="s">
        <v>108</v>
      </c>
      <c r="C170" s="4" t="s">
        <v>109</v>
      </c>
      <c r="D170" s="4" t="s">
        <v>53</v>
      </c>
      <c r="E170" s="4" t="s">
        <v>54</v>
      </c>
      <c r="F170" s="4" t="s">
        <v>19</v>
      </c>
      <c r="G170" s="4">
        <v>5</v>
      </c>
      <c r="H170" s="4">
        <v>899.99</v>
      </c>
      <c r="I170" s="4" t="s">
        <v>50</v>
      </c>
      <c r="J170" s="4" t="s">
        <v>55</v>
      </c>
      <c r="K170" s="4" t="s">
        <v>34</v>
      </c>
      <c r="L170" s="5">
        <v>44625</v>
      </c>
      <c r="M170" s="4">
        <v>4499.95</v>
      </c>
      <c r="N170">
        <f t="shared" si="6"/>
        <v>2024</v>
      </c>
      <c r="O170">
        <f t="shared" si="7"/>
        <v>12</v>
      </c>
      <c r="P170" t="str">
        <f t="shared" si="8"/>
        <v>2024-12</v>
      </c>
    </row>
    <row r="171" spans="1:16" ht="15.75" customHeight="1" x14ac:dyDescent="0.3">
      <c r="A171" s="5">
        <v>45646</v>
      </c>
      <c r="B171" s="4" t="s">
        <v>38</v>
      </c>
      <c r="C171" s="4" t="s">
        <v>39</v>
      </c>
      <c r="D171" s="4" t="s">
        <v>40</v>
      </c>
      <c r="E171" s="4" t="s">
        <v>41</v>
      </c>
      <c r="F171" s="4" t="s">
        <v>42</v>
      </c>
      <c r="G171" s="4">
        <v>2</v>
      </c>
      <c r="H171" s="4">
        <v>149.99</v>
      </c>
      <c r="I171" s="4" t="s">
        <v>20</v>
      </c>
      <c r="J171" s="4" t="s">
        <v>33</v>
      </c>
      <c r="K171" s="4" t="s">
        <v>22</v>
      </c>
      <c r="L171" s="5">
        <v>45239</v>
      </c>
      <c r="M171" s="4">
        <v>299.98</v>
      </c>
      <c r="N171">
        <f t="shared" si="6"/>
        <v>2024</v>
      </c>
      <c r="O171">
        <f t="shared" si="7"/>
        <v>12</v>
      </c>
      <c r="P171" t="str">
        <f t="shared" si="8"/>
        <v>2024-12</v>
      </c>
    </row>
    <row r="172" spans="1:16" ht="15.75" customHeight="1" x14ac:dyDescent="0.3">
      <c r="A172" s="5">
        <v>45648</v>
      </c>
      <c r="B172" s="4" t="s">
        <v>86</v>
      </c>
      <c r="C172" s="4" t="s">
        <v>87</v>
      </c>
      <c r="D172" s="4" t="s">
        <v>46</v>
      </c>
      <c r="E172" s="4" t="s">
        <v>47</v>
      </c>
      <c r="F172" s="4" t="s">
        <v>19</v>
      </c>
      <c r="G172" s="4">
        <v>2</v>
      </c>
      <c r="H172" s="4">
        <v>149.99</v>
      </c>
      <c r="I172" s="4" t="s">
        <v>50</v>
      </c>
      <c r="J172" s="4" t="s">
        <v>45</v>
      </c>
      <c r="K172" s="4" t="s">
        <v>26</v>
      </c>
      <c r="L172" s="5">
        <v>45280</v>
      </c>
      <c r="M172" s="4">
        <v>299.98</v>
      </c>
      <c r="N172">
        <f t="shared" si="6"/>
        <v>2024</v>
      </c>
      <c r="O172">
        <f t="shared" si="7"/>
        <v>12</v>
      </c>
      <c r="P172" t="str">
        <f t="shared" si="8"/>
        <v>2024-12</v>
      </c>
    </row>
    <row r="173" spans="1:16" ht="15.75" customHeight="1" x14ac:dyDescent="0.3">
      <c r="A173" s="5">
        <v>45648</v>
      </c>
      <c r="B173" s="4" t="s">
        <v>120</v>
      </c>
      <c r="C173" s="4" t="s">
        <v>121</v>
      </c>
      <c r="D173" s="4" t="s">
        <v>40</v>
      </c>
      <c r="E173" s="4" t="s">
        <v>41</v>
      </c>
      <c r="F173" s="4" t="s">
        <v>42</v>
      </c>
      <c r="G173" s="4">
        <v>3</v>
      </c>
      <c r="H173" s="4">
        <v>149.99</v>
      </c>
      <c r="I173" s="4" t="s">
        <v>50</v>
      </c>
      <c r="J173" s="4" t="s">
        <v>37</v>
      </c>
      <c r="K173" s="4" t="s">
        <v>34</v>
      </c>
      <c r="L173" s="5">
        <v>44522</v>
      </c>
      <c r="M173" s="4">
        <v>449.97</v>
      </c>
      <c r="N173">
        <f t="shared" si="6"/>
        <v>2024</v>
      </c>
      <c r="O173">
        <f t="shared" si="7"/>
        <v>12</v>
      </c>
      <c r="P173" t="str">
        <f t="shared" si="8"/>
        <v>2024-12</v>
      </c>
    </row>
    <row r="174" spans="1:16" ht="15.75" customHeight="1" x14ac:dyDescent="0.3">
      <c r="A174" s="5">
        <v>45649</v>
      </c>
      <c r="B174" s="4" t="s">
        <v>27</v>
      </c>
      <c r="C174" s="4" t="s">
        <v>28</v>
      </c>
      <c r="D174" s="4" t="s">
        <v>82</v>
      </c>
      <c r="E174" s="4" t="s">
        <v>83</v>
      </c>
      <c r="F174" s="4" t="s">
        <v>42</v>
      </c>
      <c r="G174" s="4">
        <v>2</v>
      </c>
      <c r="H174" s="4">
        <v>299.99</v>
      </c>
      <c r="I174" s="4" t="s">
        <v>32</v>
      </c>
      <c r="J174" s="4" t="s">
        <v>33</v>
      </c>
      <c r="K174" s="4" t="s">
        <v>22</v>
      </c>
      <c r="L174" s="5">
        <v>44721</v>
      </c>
      <c r="M174" s="4">
        <v>599.98</v>
      </c>
      <c r="N174">
        <f t="shared" si="6"/>
        <v>2024</v>
      </c>
      <c r="O174">
        <f t="shared" si="7"/>
        <v>12</v>
      </c>
      <c r="P174" t="str">
        <f t="shared" si="8"/>
        <v>2024-12</v>
      </c>
    </row>
    <row r="175" spans="1:16" ht="15.75" customHeight="1" x14ac:dyDescent="0.3">
      <c r="A175" s="5">
        <v>45654</v>
      </c>
      <c r="B175" s="4" t="s">
        <v>38</v>
      </c>
      <c r="C175" s="4" t="s">
        <v>39</v>
      </c>
      <c r="D175" s="4" t="s">
        <v>82</v>
      </c>
      <c r="E175" s="4" t="s">
        <v>83</v>
      </c>
      <c r="F175" s="4" t="s">
        <v>42</v>
      </c>
      <c r="G175" s="4">
        <v>2</v>
      </c>
      <c r="H175" s="4">
        <v>299.99</v>
      </c>
      <c r="I175" s="4" t="s">
        <v>20</v>
      </c>
      <c r="J175" s="4" t="s">
        <v>45</v>
      </c>
      <c r="K175" s="4" t="s">
        <v>22</v>
      </c>
      <c r="L175" s="5">
        <v>44771</v>
      </c>
      <c r="M175" s="4">
        <v>599.98</v>
      </c>
      <c r="N175">
        <f t="shared" si="6"/>
        <v>2024</v>
      </c>
      <c r="O175">
        <f t="shared" si="7"/>
        <v>12</v>
      </c>
      <c r="P175" t="str">
        <f t="shared" si="8"/>
        <v>2024-12</v>
      </c>
    </row>
    <row r="176" spans="1:16" ht="15.75" customHeight="1" x14ac:dyDescent="0.3">
      <c r="A176" s="5">
        <v>45654</v>
      </c>
      <c r="B176" s="4" t="s">
        <v>92</v>
      </c>
      <c r="C176" s="4" t="s">
        <v>93</v>
      </c>
      <c r="D176" s="4" t="s">
        <v>96</v>
      </c>
      <c r="E176" s="4" t="s">
        <v>97</v>
      </c>
      <c r="F176" s="4" t="s">
        <v>42</v>
      </c>
      <c r="G176" s="4">
        <v>4</v>
      </c>
      <c r="H176" s="4">
        <v>199.99</v>
      </c>
      <c r="I176" s="4" t="s">
        <v>25</v>
      </c>
      <c r="J176" s="4" t="s">
        <v>21</v>
      </c>
      <c r="K176" s="4" t="s">
        <v>22</v>
      </c>
      <c r="L176" s="5">
        <v>44523</v>
      </c>
      <c r="M176" s="4">
        <v>799.96</v>
      </c>
      <c r="N176">
        <f t="shared" si="6"/>
        <v>2024</v>
      </c>
      <c r="O176">
        <f t="shared" si="7"/>
        <v>12</v>
      </c>
      <c r="P176" t="str">
        <f t="shared" si="8"/>
        <v>2024-12</v>
      </c>
    </row>
    <row r="177" spans="1:16" ht="15.75" customHeight="1" x14ac:dyDescent="0.3">
      <c r="A177" s="5">
        <v>45655</v>
      </c>
      <c r="B177" s="4" t="s">
        <v>51</v>
      </c>
      <c r="C177" s="4" t="s">
        <v>52</v>
      </c>
      <c r="D177" s="4" t="s">
        <v>90</v>
      </c>
      <c r="E177" s="4" t="s">
        <v>91</v>
      </c>
      <c r="F177" s="4" t="s">
        <v>19</v>
      </c>
      <c r="G177" s="4">
        <v>1</v>
      </c>
      <c r="H177" s="4">
        <v>89.99</v>
      </c>
      <c r="I177" s="4" t="s">
        <v>25</v>
      </c>
      <c r="J177" s="4" t="s">
        <v>33</v>
      </c>
      <c r="K177" s="4" t="s">
        <v>26</v>
      </c>
      <c r="L177" s="5">
        <v>44591</v>
      </c>
      <c r="M177" s="4">
        <v>89.99</v>
      </c>
      <c r="N177">
        <f t="shared" si="6"/>
        <v>2024</v>
      </c>
      <c r="O177">
        <f t="shared" si="7"/>
        <v>12</v>
      </c>
      <c r="P177" t="str">
        <f t="shared" si="8"/>
        <v>2024-12</v>
      </c>
    </row>
    <row r="178" spans="1:16" ht="15.75" customHeight="1" x14ac:dyDescent="0.3">
      <c r="A178" s="5">
        <v>45655</v>
      </c>
      <c r="B178" s="4" t="s">
        <v>84</v>
      </c>
      <c r="C178" s="4" t="s">
        <v>85</v>
      </c>
      <c r="D178" s="4" t="s">
        <v>40</v>
      </c>
      <c r="E178" s="4" t="s">
        <v>41</v>
      </c>
      <c r="F178" s="4" t="s">
        <v>42</v>
      </c>
      <c r="G178" s="4">
        <v>5</v>
      </c>
      <c r="H178" s="4">
        <v>149.99</v>
      </c>
      <c r="I178" s="4" t="s">
        <v>20</v>
      </c>
      <c r="J178" s="4" t="s">
        <v>21</v>
      </c>
      <c r="K178" s="4" t="s">
        <v>26</v>
      </c>
      <c r="L178" s="5">
        <v>45347</v>
      </c>
      <c r="M178" s="4">
        <v>749.95</v>
      </c>
      <c r="N178">
        <f t="shared" si="6"/>
        <v>2024</v>
      </c>
      <c r="O178">
        <f t="shared" si="7"/>
        <v>12</v>
      </c>
      <c r="P178" t="str">
        <f t="shared" si="8"/>
        <v>2024-12</v>
      </c>
    </row>
    <row r="179" spans="1:16" ht="15.75" customHeight="1" x14ac:dyDescent="0.3">
      <c r="A179" s="5">
        <v>45657</v>
      </c>
      <c r="B179" s="4" t="s">
        <v>70</v>
      </c>
      <c r="C179" s="4" t="s">
        <v>71</v>
      </c>
      <c r="D179" s="4" t="s">
        <v>53</v>
      </c>
      <c r="E179" s="4" t="s">
        <v>54</v>
      </c>
      <c r="F179" s="4" t="s">
        <v>19</v>
      </c>
      <c r="G179" s="4">
        <v>1</v>
      </c>
      <c r="H179" s="4">
        <v>899.99</v>
      </c>
      <c r="I179" s="4" t="s">
        <v>32</v>
      </c>
      <c r="J179" s="4" t="s">
        <v>37</v>
      </c>
      <c r="K179" s="4" t="s">
        <v>26</v>
      </c>
      <c r="L179" s="5">
        <v>45050</v>
      </c>
      <c r="M179" s="4">
        <v>899.99</v>
      </c>
      <c r="N179">
        <f t="shared" si="6"/>
        <v>2024</v>
      </c>
      <c r="O179">
        <f t="shared" si="7"/>
        <v>12</v>
      </c>
      <c r="P179" t="str">
        <f t="shared" si="8"/>
        <v>2024-12</v>
      </c>
    </row>
    <row r="180" spans="1:16" ht="15.75" customHeight="1" x14ac:dyDescent="0.3">
      <c r="A180" s="5">
        <v>45660</v>
      </c>
      <c r="B180" s="4" t="s">
        <v>108</v>
      </c>
      <c r="C180" s="4" t="s">
        <v>109</v>
      </c>
      <c r="D180" s="4" t="s">
        <v>90</v>
      </c>
      <c r="E180" s="4" t="s">
        <v>91</v>
      </c>
      <c r="F180" s="4" t="s">
        <v>19</v>
      </c>
      <c r="G180" s="4">
        <v>2</v>
      </c>
      <c r="H180" s="4">
        <v>89.99</v>
      </c>
      <c r="I180" s="4" t="s">
        <v>25</v>
      </c>
      <c r="J180" s="4" t="s">
        <v>33</v>
      </c>
      <c r="K180" s="4" t="s">
        <v>26</v>
      </c>
      <c r="L180" s="5">
        <v>44564</v>
      </c>
      <c r="M180" s="4">
        <v>179.98</v>
      </c>
      <c r="N180">
        <f t="shared" si="6"/>
        <v>2025</v>
      </c>
      <c r="O180">
        <f t="shared" si="7"/>
        <v>1</v>
      </c>
      <c r="P180" t="str">
        <f t="shared" si="8"/>
        <v>2025-01</v>
      </c>
    </row>
    <row r="181" spans="1:16" ht="15.75" customHeight="1" x14ac:dyDescent="0.3">
      <c r="A181" s="5">
        <v>45661</v>
      </c>
      <c r="B181" s="4" t="s">
        <v>146</v>
      </c>
      <c r="C181" s="4" t="s">
        <v>147</v>
      </c>
      <c r="D181" s="4" t="s">
        <v>53</v>
      </c>
      <c r="E181" s="4" t="s">
        <v>54</v>
      </c>
      <c r="F181" s="4" t="s">
        <v>19</v>
      </c>
      <c r="G181" s="4">
        <v>1</v>
      </c>
      <c r="H181" s="4">
        <v>899.99</v>
      </c>
      <c r="I181" s="4" t="s">
        <v>32</v>
      </c>
      <c r="J181" s="4" t="s">
        <v>37</v>
      </c>
      <c r="K181" s="4" t="s">
        <v>34</v>
      </c>
      <c r="L181" s="5">
        <v>44752</v>
      </c>
      <c r="M181" s="4">
        <v>899.99</v>
      </c>
      <c r="N181">
        <f t="shared" si="6"/>
        <v>2025</v>
      </c>
      <c r="O181">
        <f t="shared" si="7"/>
        <v>1</v>
      </c>
      <c r="P181" t="str">
        <f t="shared" si="8"/>
        <v>2025-01</v>
      </c>
    </row>
    <row r="182" spans="1:16" ht="15.75" customHeight="1" x14ac:dyDescent="0.3">
      <c r="A182" s="5">
        <v>45663</v>
      </c>
      <c r="B182" s="4" t="s">
        <v>98</v>
      </c>
      <c r="C182" s="4" t="s">
        <v>99</v>
      </c>
      <c r="D182" s="4" t="s">
        <v>46</v>
      </c>
      <c r="E182" s="4" t="s">
        <v>47</v>
      </c>
      <c r="F182" s="4" t="s">
        <v>19</v>
      </c>
      <c r="G182" s="4">
        <v>5</v>
      </c>
      <c r="H182" s="4">
        <v>149.99</v>
      </c>
      <c r="I182" s="4" t="s">
        <v>32</v>
      </c>
      <c r="J182" s="4" t="s">
        <v>55</v>
      </c>
      <c r="K182" s="4" t="s">
        <v>26</v>
      </c>
      <c r="L182" s="5">
        <v>44824</v>
      </c>
      <c r="M182" s="4">
        <v>749.95</v>
      </c>
      <c r="N182">
        <f t="shared" si="6"/>
        <v>2025</v>
      </c>
      <c r="O182">
        <f t="shared" si="7"/>
        <v>1</v>
      </c>
      <c r="P182" t="str">
        <f t="shared" si="8"/>
        <v>2025-01</v>
      </c>
    </row>
    <row r="183" spans="1:16" ht="15.75" customHeight="1" x14ac:dyDescent="0.3">
      <c r="A183" s="5">
        <v>45663</v>
      </c>
      <c r="B183" s="4" t="s">
        <v>38</v>
      </c>
      <c r="C183" s="4" t="s">
        <v>39</v>
      </c>
      <c r="D183" s="4" t="s">
        <v>82</v>
      </c>
      <c r="E183" s="4" t="s">
        <v>83</v>
      </c>
      <c r="F183" s="4" t="s">
        <v>42</v>
      </c>
      <c r="G183" s="4">
        <v>3</v>
      </c>
      <c r="H183" s="4">
        <v>299.99</v>
      </c>
      <c r="I183" s="4" t="s">
        <v>20</v>
      </c>
      <c r="J183" s="4" t="s">
        <v>33</v>
      </c>
      <c r="K183" s="4" t="s">
        <v>34</v>
      </c>
      <c r="L183" s="5">
        <v>44422</v>
      </c>
      <c r="M183" s="4">
        <v>899.97</v>
      </c>
      <c r="N183">
        <f t="shared" si="6"/>
        <v>2025</v>
      </c>
      <c r="O183">
        <f t="shared" si="7"/>
        <v>1</v>
      </c>
      <c r="P183" t="str">
        <f t="shared" si="8"/>
        <v>2025-01</v>
      </c>
    </row>
    <row r="184" spans="1:16" ht="15.75" customHeight="1" x14ac:dyDescent="0.3">
      <c r="A184" s="5">
        <v>45666</v>
      </c>
      <c r="B184" s="4" t="s">
        <v>56</v>
      </c>
      <c r="C184" s="4" t="s">
        <v>57</v>
      </c>
      <c r="D184" s="4" t="s">
        <v>66</v>
      </c>
      <c r="E184" s="4" t="s">
        <v>67</v>
      </c>
      <c r="F184" s="4" t="s">
        <v>19</v>
      </c>
      <c r="G184" s="4">
        <v>3</v>
      </c>
      <c r="H184" s="4">
        <v>699.99</v>
      </c>
      <c r="I184" s="4" t="s">
        <v>25</v>
      </c>
      <c r="J184" s="4" t="s">
        <v>21</v>
      </c>
      <c r="K184" s="4" t="s">
        <v>26</v>
      </c>
      <c r="L184" s="5">
        <v>45105</v>
      </c>
      <c r="M184" s="4">
        <v>2099.9699999999998</v>
      </c>
      <c r="N184">
        <f t="shared" si="6"/>
        <v>2025</v>
      </c>
      <c r="O184">
        <f t="shared" si="7"/>
        <v>1</v>
      </c>
      <c r="P184" t="str">
        <f t="shared" si="8"/>
        <v>2025-01</v>
      </c>
    </row>
    <row r="185" spans="1:16" ht="15.75" customHeight="1" x14ac:dyDescent="0.3">
      <c r="A185" s="5">
        <v>45667</v>
      </c>
      <c r="B185" s="4" t="s">
        <v>84</v>
      </c>
      <c r="C185" s="4" t="s">
        <v>85</v>
      </c>
      <c r="D185" s="4" t="s">
        <v>96</v>
      </c>
      <c r="E185" s="4" t="s">
        <v>97</v>
      </c>
      <c r="F185" s="4" t="s">
        <v>42</v>
      </c>
      <c r="G185" s="4">
        <v>5</v>
      </c>
      <c r="H185" s="4">
        <v>199.99</v>
      </c>
      <c r="I185" s="4" t="s">
        <v>32</v>
      </c>
      <c r="J185" s="4" t="s">
        <v>21</v>
      </c>
      <c r="K185" s="4" t="s">
        <v>34</v>
      </c>
      <c r="L185" s="5">
        <v>44633</v>
      </c>
      <c r="M185" s="4">
        <v>999.95</v>
      </c>
      <c r="N185">
        <f t="shared" si="6"/>
        <v>2025</v>
      </c>
      <c r="O185">
        <f t="shared" si="7"/>
        <v>1</v>
      </c>
      <c r="P185" t="str">
        <f t="shared" si="8"/>
        <v>2025-01</v>
      </c>
    </row>
    <row r="186" spans="1:16" ht="15.75" customHeight="1" x14ac:dyDescent="0.3">
      <c r="A186" s="5">
        <v>45667</v>
      </c>
      <c r="B186" s="4" t="s">
        <v>74</v>
      </c>
      <c r="C186" s="4" t="s">
        <v>75</v>
      </c>
      <c r="D186" s="4" t="s">
        <v>17</v>
      </c>
      <c r="E186" s="4" t="s">
        <v>18</v>
      </c>
      <c r="F186" s="4" t="s">
        <v>19</v>
      </c>
      <c r="G186" s="4">
        <v>5</v>
      </c>
      <c r="H186" s="4">
        <v>249.99</v>
      </c>
      <c r="I186" s="4" t="s">
        <v>25</v>
      </c>
      <c r="J186" s="4" t="s">
        <v>33</v>
      </c>
      <c r="K186" s="4" t="s">
        <v>22</v>
      </c>
      <c r="L186" s="5">
        <v>45330</v>
      </c>
      <c r="M186" s="4">
        <v>1249.95</v>
      </c>
      <c r="N186">
        <f t="shared" si="6"/>
        <v>2025</v>
      </c>
      <c r="O186">
        <f t="shared" si="7"/>
        <v>1</v>
      </c>
      <c r="P186" t="str">
        <f t="shared" si="8"/>
        <v>2025-01</v>
      </c>
    </row>
    <row r="187" spans="1:16" ht="15.75" customHeight="1" x14ac:dyDescent="0.3">
      <c r="A187" s="5">
        <v>45668</v>
      </c>
      <c r="B187" s="4" t="s">
        <v>102</v>
      </c>
      <c r="C187" s="4" t="s">
        <v>103</v>
      </c>
      <c r="D187" s="4" t="s">
        <v>46</v>
      </c>
      <c r="E187" s="4" t="s">
        <v>47</v>
      </c>
      <c r="F187" s="4" t="s">
        <v>19</v>
      </c>
      <c r="G187" s="4">
        <v>4</v>
      </c>
      <c r="H187" s="4">
        <v>149.99</v>
      </c>
      <c r="I187" s="4" t="s">
        <v>50</v>
      </c>
      <c r="J187" s="4" t="s">
        <v>55</v>
      </c>
      <c r="K187" s="4" t="s">
        <v>34</v>
      </c>
      <c r="L187" s="5">
        <v>44536</v>
      </c>
      <c r="M187" s="4">
        <v>599.96</v>
      </c>
      <c r="N187">
        <f t="shared" si="6"/>
        <v>2025</v>
      </c>
      <c r="O187">
        <f t="shared" si="7"/>
        <v>1</v>
      </c>
      <c r="P187" t="str">
        <f t="shared" si="8"/>
        <v>2025-01</v>
      </c>
    </row>
    <row r="188" spans="1:16" ht="15.75" customHeight="1" x14ac:dyDescent="0.3">
      <c r="A188" s="5">
        <v>45668</v>
      </c>
      <c r="B188" s="4" t="s">
        <v>64</v>
      </c>
      <c r="C188" s="4" t="s">
        <v>65</v>
      </c>
      <c r="D188" s="4" t="s">
        <v>66</v>
      </c>
      <c r="E188" s="4" t="s">
        <v>67</v>
      </c>
      <c r="F188" s="4" t="s">
        <v>19</v>
      </c>
      <c r="G188" s="4">
        <v>3</v>
      </c>
      <c r="H188" s="4">
        <v>699.99</v>
      </c>
      <c r="I188" s="4" t="s">
        <v>20</v>
      </c>
      <c r="J188" s="4" t="s">
        <v>37</v>
      </c>
      <c r="K188" s="4" t="s">
        <v>26</v>
      </c>
      <c r="L188" s="5">
        <v>44602</v>
      </c>
      <c r="M188" s="4">
        <v>2099.9699999999998</v>
      </c>
      <c r="N188">
        <f t="shared" si="6"/>
        <v>2025</v>
      </c>
      <c r="O188">
        <f t="shared" si="7"/>
        <v>1</v>
      </c>
      <c r="P188" t="str">
        <f t="shared" si="8"/>
        <v>2025-01</v>
      </c>
    </row>
    <row r="189" spans="1:16" ht="15.75" customHeight="1" x14ac:dyDescent="0.3">
      <c r="A189" s="5">
        <v>45670</v>
      </c>
      <c r="B189" s="4" t="s">
        <v>142</v>
      </c>
      <c r="C189" s="4" t="s">
        <v>143</v>
      </c>
      <c r="D189" s="4" t="s">
        <v>88</v>
      </c>
      <c r="E189" s="4" t="s">
        <v>89</v>
      </c>
      <c r="F189" s="4" t="s">
        <v>31</v>
      </c>
      <c r="G189" s="4">
        <v>1</v>
      </c>
      <c r="H189" s="4">
        <v>79.989999999999995</v>
      </c>
      <c r="I189" s="4" t="s">
        <v>25</v>
      </c>
      <c r="J189" s="4" t="s">
        <v>33</v>
      </c>
      <c r="K189" s="4" t="s">
        <v>22</v>
      </c>
      <c r="L189" s="5">
        <v>45322</v>
      </c>
      <c r="M189" s="4">
        <v>79.989999999999995</v>
      </c>
      <c r="N189">
        <f t="shared" si="6"/>
        <v>2025</v>
      </c>
      <c r="O189">
        <f t="shared" si="7"/>
        <v>1</v>
      </c>
      <c r="P189" t="str">
        <f t="shared" si="8"/>
        <v>2025-01</v>
      </c>
    </row>
    <row r="190" spans="1:16" ht="15.75" customHeight="1" x14ac:dyDescent="0.3">
      <c r="A190" s="5">
        <v>45670</v>
      </c>
      <c r="B190" s="4" t="s">
        <v>70</v>
      </c>
      <c r="C190" s="4" t="s">
        <v>71</v>
      </c>
      <c r="D190" s="4" t="s">
        <v>82</v>
      </c>
      <c r="E190" s="4" t="s">
        <v>83</v>
      </c>
      <c r="F190" s="4" t="s">
        <v>42</v>
      </c>
      <c r="G190" s="4">
        <v>1</v>
      </c>
      <c r="H190" s="4">
        <v>299.99</v>
      </c>
      <c r="I190" s="4" t="s">
        <v>25</v>
      </c>
      <c r="J190" s="4" t="s">
        <v>37</v>
      </c>
      <c r="K190" s="4" t="s">
        <v>22</v>
      </c>
      <c r="L190" s="5">
        <v>44436</v>
      </c>
      <c r="M190" s="4">
        <v>299.99</v>
      </c>
      <c r="N190">
        <f t="shared" si="6"/>
        <v>2025</v>
      </c>
      <c r="O190">
        <f t="shared" si="7"/>
        <v>1</v>
      </c>
      <c r="P190" t="str">
        <f t="shared" si="8"/>
        <v>2025-01</v>
      </c>
    </row>
    <row r="191" spans="1:16" ht="15.75" customHeight="1" x14ac:dyDescent="0.3">
      <c r="A191" s="5">
        <v>45671</v>
      </c>
      <c r="B191" s="4" t="s">
        <v>114</v>
      </c>
      <c r="C191" s="4" t="s">
        <v>115</v>
      </c>
      <c r="D191" s="4" t="s">
        <v>17</v>
      </c>
      <c r="E191" s="4" t="s">
        <v>18</v>
      </c>
      <c r="F191" s="4" t="s">
        <v>19</v>
      </c>
      <c r="G191" s="4">
        <v>4</v>
      </c>
      <c r="H191" s="4">
        <v>249.99</v>
      </c>
      <c r="I191" s="4" t="s">
        <v>25</v>
      </c>
      <c r="J191" s="4" t="s">
        <v>37</v>
      </c>
      <c r="K191" s="4" t="s">
        <v>26</v>
      </c>
      <c r="L191" s="5">
        <v>44460</v>
      </c>
      <c r="M191" s="4">
        <v>999.96</v>
      </c>
      <c r="N191">
        <f t="shared" si="6"/>
        <v>2025</v>
      </c>
      <c r="O191">
        <f t="shared" si="7"/>
        <v>1</v>
      </c>
      <c r="P191" t="str">
        <f t="shared" si="8"/>
        <v>2025-01</v>
      </c>
    </row>
    <row r="192" spans="1:16" ht="15.75" customHeight="1" x14ac:dyDescent="0.3">
      <c r="A192" s="5">
        <v>45671</v>
      </c>
      <c r="B192" s="4" t="s">
        <v>92</v>
      </c>
      <c r="C192" s="4" t="s">
        <v>93</v>
      </c>
      <c r="D192" s="4" t="s">
        <v>46</v>
      </c>
      <c r="E192" s="4" t="s">
        <v>47</v>
      </c>
      <c r="F192" s="4" t="s">
        <v>19</v>
      </c>
      <c r="G192" s="4">
        <v>2</v>
      </c>
      <c r="H192" s="4">
        <v>149.99</v>
      </c>
      <c r="I192" s="4" t="s">
        <v>20</v>
      </c>
      <c r="J192" s="4" t="s">
        <v>37</v>
      </c>
      <c r="K192" s="4" t="s">
        <v>34</v>
      </c>
      <c r="L192" s="5">
        <v>44913</v>
      </c>
      <c r="M192" s="4">
        <v>299.98</v>
      </c>
      <c r="N192">
        <f t="shared" si="6"/>
        <v>2025</v>
      </c>
      <c r="O192">
        <f t="shared" si="7"/>
        <v>1</v>
      </c>
      <c r="P192" t="str">
        <f t="shared" si="8"/>
        <v>2025-01</v>
      </c>
    </row>
    <row r="193" spans="1:16" ht="15.75" customHeight="1" x14ac:dyDescent="0.3">
      <c r="A193" s="5">
        <v>45671</v>
      </c>
      <c r="B193" s="4" t="s">
        <v>134</v>
      </c>
      <c r="C193" s="4" t="s">
        <v>135</v>
      </c>
      <c r="D193" s="4" t="s">
        <v>82</v>
      </c>
      <c r="E193" s="4" t="s">
        <v>83</v>
      </c>
      <c r="F193" s="4" t="s">
        <v>42</v>
      </c>
      <c r="G193" s="4">
        <v>3</v>
      </c>
      <c r="H193" s="4">
        <v>299.99</v>
      </c>
      <c r="I193" s="4" t="s">
        <v>25</v>
      </c>
      <c r="J193" s="4" t="s">
        <v>33</v>
      </c>
      <c r="K193" s="4" t="s">
        <v>22</v>
      </c>
      <c r="L193" s="5">
        <v>45204</v>
      </c>
      <c r="M193" s="4">
        <v>899.97</v>
      </c>
      <c r="N193">
        <f t="shared" si="6"/>
        <v>2025</v>
      </c>
      <c r="O193">
        <f t="shared" si="7"/>
        <v>1</v>
      </c>
      <c r="P193" t="str">
        <f t="shared" si="8"/>
        <v>2025-01</v>
      </c>
    </row>
    <row r="194" spans="1:16" ht="15.75" customHeight="1" x14ac:dyDescent="0.3">
      <c r="A194" s="5">
        <v>45673</v>
      </c>
      <c r="B194" s="4" t="s">
        <v>130</v>
      </c>
      <c r="C194" s="4" t="s">
        <v>131</v>
      </c>
      <c r="D194" s="4" t="s">
        <v>96</v>
      </c>
      <c r="E194" s="4" t="s">
        <v>97</v>
      </c>
      <c r="F194" s="4" t="s">
        <v>42</v>
      </c>
      <c r="G194" s="4">
        <v>4</v>
      </c>
      <c r="H194" s="4">
        <v>199.99</v>
      </c>
      <c r="I194" s="4" t="s">
        <v>50</v>
      </c>
      <c r="J194" s="4" t="s">
        <v>33</v>
      </c>
      <c r="K194" s="4" t="s">
        <v>34</v>
      </c>
      <c r="L194" s="5">
        <v>44544</v>
      </c>
      <c r="M194" s="4">
        <v>799.96</v>
      </c>
      <c r="N194">
        <f t="shared" si="6"/>
        <v>2025</v>
      </c>
      <c r="O194">
        <f t="shared" si="7"/>
        <v>1</v>
      </c>
      <c r="P194" t="str">
        <f t="shared" si="8"/>
        <v>2025-01</v>
      </c>
    </row>
    <row r="195" spans="1:16" ht="15.75" customHeight="1" x14ac:dyDescent="0.3">
      <c r="A195" s="5">
        <v>45673</v>
      </c>
      <c r="B195" s="4" t="s">
        <v>128</v>
      </c>
      <c r="C195" s="4" t="s">
        <v>129</v>
      </c>
      <c r="D195" s="4" t="s">
        <v>82</v>
      </c>
      <c r="E195" s="4" t="s">
        <v>83</v>
      </c>
      <c r="F195" s="4" t="s">
        <v>42</v>
      </c>
      <c r="G195" s="4">
        <v>5</v>
      </c>
      <c r="H195" s="4">
        <v>299.99</v>
      </c>
      <c r="I195" s="4" t="s">
        <v>50</v>
      </c>
      <c r="J195" s="4" t="s">
        <v>21</v>
      </c>
      <c r="K195" s="4" t="s">
        <v>22</v>
      </c>
      <c r="L195" s="5">
        <v>44431</v>
      </c>
      <c r="M195" s="4">
        <v>1499.95</v>
      </c>
      <c r="N195">
        <f t="shared" ref="N195:N251" si="9">YEAR(A195)</f>
        <v>2025</v>
      </c>
      <c r="O195">
        <f t="shared" ref="O195:O251" si="10">MONTH(A195)</f>
        <v>1</v>
      </c>
      <c r="P195" t="str">
        <f t="shared" ref="P195:P251" si="11">TEXT(A195,"yyyy-mm")</f>
        <v>2025-01</v>
      </c>
    </row>
    <row r="196" spans="1:16" ht="15.75" customHeight="1" x14ac:dyDescent="0.3">
      <c r="A196" s="5">
        <v>45673</v>
      </c>
      <c r="B196" s="4" t="s">
        <v>51</v>
      </c>
      <c r="C196" s="4" t="s">
        <v>52</v>
      </c>
      <c r="D196" s="4" t="s">
        <v>40</v>
      </c>
      <c r="E196" s="4" t="s">
        <v>41</v>
      </c>
      <c r="F196" s="4" t="s">
        <v>42</v>
      </c>
      <c r="G196" s="4">
        <v>3</v>
      </c>
      <c r="H196" s="4">
        <v>149.99</v>
      </c>
      <c r="I196" s="4" t="s">
        <v>25</v>
      </c>
      <c r="J196" s="4" t="s">
        <v>55</v>
      </c>
      <c r="K196" s="4" t="s">
        <v>34</v>
      </c>
      <c r="L196" s="5">
        <v>44395</v>
      </c>
      <c r="M196" s="4">
        <v>449.97</v>
      </c>
      <c r="N196">
        <f t="shared" si="9"/>
        <v>2025</v>
      </c>
      <c r="O196">
        <f t="shared" si="10"/>
        <v>1</v>
      </c>
      <c r="P196" t="str">
        <f t="shared" si="11"/>
        <v>2025-01</v>
      </c>
    </row>
    <row r="197" spans="1:16" ht="15.75" customHeight="1" x14ac:dyDescent="0.3">
      <c r="A197" s="5">
        <v>45676</v>
      </c>
      <c r="B197" s="4" t="s">
        <v>98</v>
      </c>
      <c r="C197" s="4" t="s">
        <v>99</v>
      </c>
      <c r="D197" s="4" t="s">
        <v>29</v>
      </c>
      <c r="E197" s="4" t="s">
        <v>30</v>
      </c>
      <c r="F197" s="4" t="s">
        <v>31</v>
      </c>
      <c r="G197" s="4">
        <v>5</v>
      </c>
      <c r="H197" s="4">
        <v>59.99</v>
      </c>
      <c r="I197" s="4" t="s">
        <v>50</v>
      </c>
      <c r="J197" s="4" t="s">
        <v>55</v>
      </c>
      <c r="K197" s="4" t="s">
        <v>22</v>
      </c>
      <c r="L197" s="5">
        <v>44642</v>
      </c>
      <c r="M197" s="4">
        <v>299.95</v>
      </c>
      <c r="N197">
        <f t="shared" si="9"/>
        <v>2025</v>
      </c>
      <c r="O197">
        <f t="shared" si="10"/>
        <v>1</v>
      </c>
      <c r="P197" t="str">
        <f t="shared" si="11"/>
        <v>2025-01</v>
      </c>
    </row>
    <row r="198" spans="1:16" ht="15.75" customHeight="1" x14ac:dyDescent="0.3">
      <c r="A198" s="5">
        <v>45682</v>
      </c>
      <c r="B198" s="4" t="s">
        <v>58</v>
      </c>
      <c r="C198" s="4" t="s">
        <v>59</v>
      </c>
      <c r="D198" s="4" t="s">
        <v>29</v>
      </c>
      <c r="E198" s="4" t="s">
        <v>30</v>
      </c>
      <c r="F198" s="4" t="s">
        <v>31</v>
      </c>
      <c r="G198" s="4">
        <v>4</v>
      </c>
      <c r="H198" s="4">
        <v>59.99</v>
      </c>
      <c r="I198" s="4" t="s">
        <v>50</v>
      </c>
      <c r="J198" s="4" t="s">
        <v>55</v>
      </c>
      <c r="K198" s="4" t="s">
        <v>34</v>
      </c>
      <c r="L198" s="5">
        <v>44564</v>
      </c>
      <c r="M198" s="4">
        <v>239.96</v>
      </c>
      <c r="N198">
        <f t="shared" si="9"/>
        <v>2025</v>
      </c>
      <c r="O198">
        <f t="shared" si="10"/>
        <v>1</v>
      </c>
      <c r="P198" t="str">
        <f t="shared" si="11"/>
        <v>2025-01</v>
      </c>
    </row>
    <row r="199" spans="1:16" ht="15.75" customHeight="1" x14ac:dyDescent="0.3">
      <c r="A199" s="5">
        <v>45683</v>
      </c>
      <c r="B199" s="4" t="s">
        <v>43</v>
      </c>
      <c r="C199" s="4" t="s">
        <v>44</v>
      </c>
      <c r="D199" s="4" t="s">
        <v>17</v>
      </c>
      <c r="E199" s="4" t="s">
        <v>18</v>
      </c>
      <c r="F199" s="4" t="s">
        <v>19</v>
      </c>
      <c r="G199" s="4">
        <v>4</v>
      </c>
      <c r="H199" s="4">
        <v>249.99</v>
      </c>
      <c r="I199" s="4" t="s">
        <v>50</v>
      </c>
      <c r="J199" s="4" t="s">
        <v>21</v>
      </c>
      <c r="K199" s="4" t="s">
        <v>26</v>
      </c>
      <c r="L199" s="5">
        <v>45217</v>
      </c>
      <c r="M199" s="4">
        <v>999.96</v>
      </c>
      <c r="N199">
        <f t="shared" si="9"/>
        <v>2025</v>
      </c>
      <c r="O199">
        <f t="shared" si="10"/>
        <v>1</v>
      </c>
      <c r="P199" t="str">
        <f t="shared" si="11"/>
        <v>2025-01</v>
      </c>
    </row>
    <row r="200" spans="1:16" ht="15.75" customHeight="1" x14ac:dyDescent="0.3">
      <c r="A200" s="5">
        <v>45686</v>
      </c>
      <c r="B200" s="4" t="s">
        <v>138</v>
      </c>
      <c r="C200" s="4" t="s">
        <v>139</v>
      </c>
      <c r="D200" s="4" t="s">
        <v>53</v>
      </c>
      <c r="E200" s="4" t="s">
        <v>54</v>
      </c>
      <c r="F200" s="4" t="s">
        <v>19</v>
      </c>
      <c r="G200" s="4">
        <v>4</v>
      </c>
      <c r="H200" s="4">
        <v>899.99</v>
      </c>
      <c r="I200" s="4" t="s">
        <v>32</v>
      </c>
      <c r="J200" s="4" t="s">
        <v>21</v>
      </c>
      <c r="K200" s="4" t="s">
        <v>22</v>
      </c>
      <c r="L200" s="5">
        <v>44734</v>
      </c>
      <c r="M200" s="4">
        <v>3599.96</v>
      </c>
      <c r="N200">
        <f t="shared" si="9"/>
        <v>2025</v>
      </c>
      <c r="O200">
        <f t="shared" si="10"/>
        <v>1</v>
      </c>
      <c r="P200" t="str">
        <f t="shared" si="11"/>
        <v>2025-01</v>
      </c>
    </row>
    <row r="201" spans="1:16" ht="15.75" customHeight="1" x14ac:dyDescent="0.3">
      <c r="A201" s="5">
        <v>45686</v>
      </c>
      <c r="B201" s="4" t="s">
        <v>70</v>
      </c>
      <c r="C201" s="4" t="s">
        <v>71</v>
      </c>
      <c r="D201" s="4" t="s">
        <v>82</v>
      </c>
      <c r="E201" s="4" t="s">
        <v>83</v>
      </c>
      <c r="F201" s="4" t="s">
        <v>42</v>
      </c>
      <c r="G201" s="4">
        <v>3</v>
      </c>
      <c r="H201" s="4">
        <v>299.99</v>
      </c>
      <c r="I201" s="4" t="s">
        <v>50</v>
      </c>
      <c r="J201" s="4" t="s">
        <v>45</v>
      </c>
      <c r="K201" s="4" t="s">
        <v>34</v>
      </c>
      <c r="L201" s="5">
        <v>44952</v>
      </c>
      <c r="M201" s="4">
        <v>899.97</v>
      </c>
      <c r="N201">
        <f t="shared" si="9"/>
        <v>2025</v>
      </c>
      <c r="O201">
        <f t="shared" si="10"/>
        <v>1</v>
      </c>
      <c r="P201" t="str">
        <f t="shared" si="11"/>
        <v>2025-01</v>
      </c>
    </row>
    <row r="202" spans="1:16" ht="15.75" customHeight="1" x14ac:dyDescent="0.3">
      <c r="A202" s="5">
        <v>45686</v>
      </c>
      <c r="B202" s="4" t="s">
        <v>142</v>
      </c>
      <c r="C202" s="4" t="s">
        <v>143</v>
      </c>
      <c r="D202" s="4" t="s">
        <v>66</v>
      </c>
      <c r="E202" s="4" t="s">
        <v>67</v>
      </c>
      <c r="F202" s="4" t="s">
        <v>19</v>
      </c>
      <c r="G202" s="4">
        <v>2</v>
      </c>
      <c r="H202" s="4">
        <v>699.99</v>
      </c>
      <c r="I202" s="4" t="s">
        <v>50</v>
      </c>
      <c r="J202" s="4" t="s">
        <v>21</v>
      </c>
      <c r="K202" s="4" t="s">
        <v>26</v>
      </c>
      <c r="L202" s="5">
        <v>44681</v>
      </c>
      <c r="M202" s="4">
        <v>1399.98</v>
      </c>
      <c r="N202">
        <f t="shared" si="9"/>
        <v>2025</v>
      </c>
      <c r="O202">
        <f t="shared" si="10"/>
        <v>1</v>
      </c>
      <c r="P202" t="str">
        <f t="shared" si="11"/>
        <v>2025-01</v>
      </c>
    </row>
    <row r="203" spans="1:16" ht="15.75" customHeight="1" x14ac:dyDescent="0.3">
      <c r="A203" s="5">
        <v>45688</v>
      </c>
      <c r="B203" s="4" t="s">
        <v>56</v>
      </c>
      <c r="C203" s="4" t="s">
        <v>57</v>
      </c>
      <c r="D203" s="4" t="s">
        <v>66</v>
      </c>
      <c r="E203" s="4" t="s">
        <v>67</v>
      </c>
      <c r="F203" s="4" t="s">
        <v>19</v>
      </c>
      <c r="G203" s="4">
        <v>4</v>
      </c>
      <c r="H203" s="4">
        <v>699.99</v>
      </c>
      <c r="I203" s="4" t="s">
        <v>50</v>
      </c>
      <c r="J203" s="4" t="s">
        <v>45</v>
      </c>
      <c r="K203" s="4" t="s">
        <v>26</v>
      </c>
      <c r="L203" s="5">
        <v>44692</v>
      </c>
      <c r="M203" s="4">
        <v>2799.96</v>
      </c>
      <c r="N203">
        <f t="shared" si="9"/>
        <v>2025</v>
      </c>
      <c r="O203">
        <f t="shared" si="10"/>
        <v>1</v>
      </c>
      <c r="P203" t="str">
        <f t="shared" si="11"/>
        <v>2025-01</v>
      </c>
    </row>
    <row r="204" spans="1:16" ht="15.75" customHeight="1" x14ac:dyDescent="0.3">
      <c r="A204" s="5">
        <v>45688</v>
      </c>
      <c r="B204" s="4" t="s">
        <v>94</v>
      </c>
      <c r="C204" s="4" t="s">
        <v>95</v>
      </c>
      <c r="D204" s="4" t="s">
        <v>90</v>
      </c>
      <c r="E204" s="4" t="s">
        <v>91</v>
      </c>
      <c r="F204" s="4" t="s">
        <v>19</v>
      </c>
      <c r="G204" s="4">
        <v>2</v>
      </c>
      <c r="H204" s="4">
        <v>89.99</v>
      </c>
      <c r="I204" s="4" t="s">
        <v>50</v>
      </c>
      <c r="J204" s="4" t="s">
        <v>33</v>
      </c>
      <c r="K204" s="4" t="s">
        <v>22</v>
      </c>
      <c r="L204" s="5">
        <v>44777</v>
      </c>
      <c r="M204" s="4">
        <v>179.98</v>
      </c>
      <c r="N204">
        <f t="shared" si="9"/>
        <v>2025</v>
      </c>
      <c r="O204">
        <f t="shared" si="10"/>
        <v>1</v>
      </c>
      <c r="P204" t="str">
        <f t="shared" si="11"/>
        <v>2025-01</v>
      </c>
    </row>
    <row r="205" spans="1:16" ht="15.75" customHeight="1" x14ac:dyDescent="0.3">
      <c r="A205" s="5">
        <v>45688</v>
      </c>
      <c r="B205" s="4" t="s">
        <v>38</v>
      </c>
      <c r="C205" s="4" t="s">
        <v>39</v>
      </c>
      <c r="D205" s="4" t="s">
        <v>90</v>
      </c>
      <c r="E205" s="4" t="s">
        <v>91</v>
      </c>
      <c r="F205" s="4" t="s">
        <v>19</v>
      </c>
      <c r="G205" s="4">
        <v>3</v>
      </c>
      <c r="H205" s="4">
        <v>89.99</v>
      </c>
      <c r="I205" s="4" t="s">
        <v>50</v>
      </c>
      <c r="J205" s="4" t="s">
        <v>33</v>
      </c>
      <c r="K205" s="4" t="s">
        <v>26</v>
      </c>
      <c r="L205" s="5">
        <v>45307</v>
      </c>
      <c r="M205" s="4">
        <v>269.97000000000003</v>
      </c>
      <c r="N205">
        <f t="shared" si="9"/>
        <v>2025</v>
      </c>
      <c r="O205">
        <f t="shared" si="10"/>
        <v>1</v>
      </c>
      <c r="P205" t="str">
        <f t="shared" si="11"/>
        <v>2025-01</v>
      </c>
    </row>
    <row r="206" spans="1:16" ht="15.75" customHeight="1" x14ac:dyDescent="0.3">
      <c r="A206" s="5">
        <v>45692</v>
      </c>
      <c r="B206" s="4" t="s">
        <v>146</v>
      </c>
      <c r="C206" s="4" t="s">
        <v>147</v>
      </c>
      <c r="D206" s="4" t="s">
        <v>29</v>
      </c>
      <c r="E206" s="4" t="s">
        <v>30</v>
      </c>
      <c r="F206" s="4" t="s">
        <v>31</v>
      </c>
      <c r="G206" s="4">
        <v>1</v>
      </c>
      <c r="H206" s="4">
        <v>59.99</v>
      </c>
      <c r="I206" s="4" t="s">
        <v>50</v>
      </c>
      <c r="J206" s="4" t="s">
        <v>21</v>
      </c>
      <c r="K206" s="4" t="s">
        <v>34</v>
      </c>
      <c r="L206" s="5">
        <v>45045</v>
      </c>
      <c r="M206" s="4">
        <v>59.99</v>
      </c>
      <c r="N206">
        <f t="shared" si="9"/>
        <v>2025</v>
      </c>
      <c r="O206">
        <f t="shared" si="10"/>
        <v>2</v>
      </c>
      <c r="P206" t="str">
        <f t="shared" si="11"/>
        <v>2025-02</v>
      </c>
    </row>
    <row r="207" spans="1:16" ht="15.75" customHeight="1" x14ac:dyDescent="0.3">
      <c r="A207" s="5">
        <v>45695</v>
      </c>
      <c r="B207" s="4" t="s">
        <v>136</v>
      </c>
      <c r="C207" s="4" t="s">
        <v>137</v>
      </c>
      <c r="D207" s="4" t="s">
        <v>40</v>
      </c>
      <c r="E207" s="4" t="s">
        <v>41</v>
      </c>
      <c r="F207" s="4" t="s">
        <v>42</v>
      </c>
      <c r="G207" s="4">
        <v>3</v>
      </c>
      <c r="H207" s="4">
        <v>149.99</v>
      </c>
      <c r="I207" s="4" t="s">
        <v>50</v>
      </c>
      <c r="J207" s="4" t="s">
        <v>37</v>
      </c>
      <c r="K207" s="4" t="s">
        <v>26</v>
      </c>
      <c r="L207" s="5">
        <v>44564</v>
      </c>
      <c r="M207" s="4">
        <v>449.97</v>
      </c>
      <c r="N207">
        <f t="shared" si="9"/>
        <v>2025</v>
      </c>
      <c r="O207">
        <f t="shared" si="10"/>
        <v>2</v>
      </c>
      <c r="P207" t="str">
        <f t="shared" si="11"/>
        <v>2025-02</v>
      </c>
    </row>
    <row r="208" spans="1:16" ht="15.75" customHeight="1" x14ac:dyDescent="0.3">
      <c r="A208" s="5">
        <v>45695</v>
      </c>
      <c r="B208" s="4" t="s">
        <v>74</v>
      </c>
      <c r="C208" s="4" t="s">
        <v>75</v>
      </c>
      <c r="D208" s="4" t="s">
        <v>82</v>
      </c>
      <c r="E208" s="4" t="s">
        <v>83</v>
      </c>
      <c r="F208" s="4" t="s">
        <v>42</v>
      </c>
      <c r="G208" s="4">
        <v>5</v>
      </c>
      <c r="H208" s="4">
        <v>299.99</v>
      </c>
      <c r="I208" s="4" t="s">
        <v>25</v>
      </c>
      <c r="J208" s="4" t="s">
        <v>33</v>
      </c>
      <c r="K208" s="4" t="s">
        <v>22</v>
      </c>
      <c r="L208" s="5">
        <v>44959</v>
      </c>
      <c r="M208" s="4">
        <v>1499.95</v>
      </c>
      <c r="N208">
        <f t="shared" si="9"/>
        <v>2025</v>
      </c>
      <c r="O208">
        <f t="shared" si="10"/>
        <v>2</v>
      </c>
      <c r="P208" t="str">
        <f t="shared" si="11"/>
        <v>2025-02</v>
      </c>
    </row>
    <row r="209" spans="1:16" ht="15.75" customHeight="1" x14ac:dyDescent="0.3">
      <c r="A209" s="5">
        <v>45696</v>
      </c>
      <c r="B209" s="4" t="s">
        <v>110</v>
      </c>
      <c r="C209" s="4" t="s">
        <v>111</v>
      </c>
      <c r="D209" s="4" t="s">
        <v>29</v>
      </c>
      <c r="E209" s="4" t="s">
        <v>30</v>
      </c>
      <c r="F209" s="4" t="s">
        <v>31</v>
      </c>
      <c r="G209" s="4">
        <v>5</v>
      </c>
      <c r="H209" s="4">
        <v>59.99</v>
      </c>
      <c r="I209" s="4" t="s">
        <v>50</v>
      </c>
      <c r="J209" s="4" t="s">
        <v>21</v>
      </c>
      <c r="K209" s="4" t="s">
        <v>34</v>
      </c>
      <c r="L209" s="5">
        <v>45177</v>
      </c>
      <c r="M209" s="4">
        <v>299.95</v>
      </c>
      <c r="N209">
        <f t="shared" si="9"/>
        <v>2025</v>
      </c>
      <c r="O209">
        <f t="shared" si="10"/>
        <v>2</v>
      </c>
      <c r="P209" t="str">
        <f t="shared" si="11"/>
        <v>2025-02</v>
      </c>
    </row>
    <row r="210" spans="1:16" ht="15.75" customHeight="1" x14ac:dyDescent="0.3">
      <c r="A210" s="5">
        <v>45701</v>
      </c>
      <c r="B210" s="4" t="s">
        <v>84</v>
      </c>
      <c r="C210" s="4" t="s">
        <v>85</v>
      </c>
      <c r="D210" s="4" t="s">
        <v>88</v>
      </c>
      <c r="E210" s="4" t="s">
        <v>89</v>
      </c>
      <c r="F210" s="4" t="s">
        <v>31</v>
      </c>
      <c r="G210" s="4">
        <v>3</v>
      </c>
      <c r="H210" s="4">
        <v>79.989999999999995</v>
      </c>
      <c r="I210" s="4" t="s">
        <v>20</v>
      </c>
      <c r="J210" s="4" t="s">
        <v>55</v>
      </c>
      <c r="K210" s="4" t="s">
        <v>26</v>
      </c>
      <c r="L210" s="5">
        <v>44436</v>
      </c>
      <c r="M210" s="4">
        <v>239.97</v>
      </c>
      <c r="N210">
        <f t="shared" si="9"/>
        <v>2025</v>
      </c>
      <c r="O210">
        <f t="shared" si="10"/>
        <v>2</v>
      </c>
      <c r="P210" t="str">
        <f t="shared" si="11"/>
        <v>2025-02</v>
      </c>
    </row>
    <row r="211" spans="1:16" ht="15.75" customHeight="1" x14ac:dyDescent="0.3">
      <c r="A211" s="5">
        <v>45704</v>
      </c>
      <c r="B211" s="4" t="s">
        <v>27</v>
      </c>
      <c r="C211" s="4" t="s">
        <v>28</v>
      </c>
      <c r="D211" s="4" t="s">
        <v>96</v>
      </c>
      <c r="E211" s="4" t="s">
        <v>97</v>
      </c>
      <c r="F211" s="4" t="s">
        <v>42</v>
      </c>
      <c r="G211" s="4">
        <v>3</v>
      </c>
      <c r="H211" s="4">
        <v>199.99</v>
      </c>
      <c r="I211" s="4" t="s">
        <v>20</v>
      </c>
      <c r="J211" s="4" t="s">
        <v>21</v>
      </c>
      <c r="K211" s="4" t="s">
        <v>22</v>
      </c>
      <c r="L211" s="5">
        <v>44735</v>
      </c>
      <c r="M211" s="4">
        <v>599.97</v>
      </c>
      <c r="N211">
        <f t="shared" si="9"/>
        <v>2025</v>
      </c>
      <c r="O211">
        <f t="shared" si="10"/>
        <v>2</v>
      </c>
      <c r="P211" t="str">
        <f t="shared" si="11"/>
        <v>2025-02</v>
      </c>
    </row>
    <row r="212" spans="1:16" ht="15.75" customHeight="1" x14ac:dyDescent="0.3">
      <c r="A212" s="5">
        <v>45704</v>
      </c>
      <c r="B212" s="4" t="s">
        <v>15</v>
      </c>
      <c r="C212" s="4" t="s">
        <v>16</v>
      </c>
      <c r="D212" s="4" t="s">
        <v>90</v>
      </c>
      <c r="E212" s="4" t="s">
        <v>91</v>
      </c>
      <c r="F212" s="4" t="s">
        <v>19</v>
      </c>
      <c r="G212" s="4">
        <v>2</v>
      </c>
      <c r="H212" s="4">
        <v>89.99</v>
      </c>
      <c r="I212" s="4" t="s">
        <v>32</v>
      </c>
      <c r="J212" s="4" t="s">
        <v>21</v>
      </c>
      <c r="K212" s="4" t="s">
        <v>22</v>
      </c>
      <c r="L212" s="5">
        <v>45257</v>
      </c>
      <c r="M212" s="4">
        <v>179.98</v>
      </c>
      <c r="N212">
        <f t="shared" si="9"/>
        <v>2025</v>
      </c>
      <c r="O212">
        <f t="shared" si="10"/>
        <v>2</v>
      </c>
      <c r="P212" t="str">
        <f t="shared" si="11"/>
        <v>2025-02</v>
      </c>
    </row>
    <row r="213" spans="1:16" ht="15.75" customHeight="1" x14ac:dyDescent="0.3">
      <c r="A213" s="5">
        <v>45705</v>
      </c>
      <c r="B213" s="4" t="s">
        <v>140</v>
      </c>
      <c r="C213" s="4" t="s">
        <v>141</v>
      </c>
      <c r="D213" s="4" t="s">
        <v>40</v>
      </c>
      <c r="E213" s="4" t="s">
        <v>41</v>
      </c>
      <c r="F213" s="4" t="s">
        <v>42</v>
      </c>
      <c r="G213" s="4">
        <v>2</v>
      </c>
      <c r="H213" s="4">
        <v>149.99</v>
      </c>
      <c r="I213" s="4" t="s">
        <v>20</v>
      </c>
      <c r="J213" s="4" t="s">
        <v>33</v>
      </c>
      <c r="K213" s="4" t="s">
        <v>26</v>
      </c>
      <c r="L213" s="5">
        <v>44728</v>
      </c>
      <c r="M213" s="4">
        <v>299.98</v>
      </c>
      <c r="N213">
        <f t="shared" si="9"/>
        <v>2025</v>
      </c>
      <c r="O213">
        <f t="shared" si="10"/>
        <v>2</v>
      </c>
      <c r="P213" t="str">
        <f t="shared" si="11"/>
        <v>2025-02</v>
      </c>
    </row>
    <row r="214" spans="1:16" ht="15.75" customHeight="1" x14ac:dyDescent="0.3">
      <c r="A214" s="5">
        <v>45707</v>
      </c>
      <c r="B214" s="4" t="s">
        <v>94</v>
      </c>
      <c r="C214" s="4" t="s">
        <v>95</v>
      </c>
      <c r="D214" s="4" t="s">
        <v>66</v>
      </c>
      <c r="E214" s="4" t="s">
        <v>67</v>
      </c>
      <c r="F214" s="4" t="s">
        <v>19</v>
      </c>
      <c r="G214" s="4">
        <v>5</v>
      </c>
      <c r="H214" s="4">
        <v>699.99</v>
      </c>
      <c r="I214" s="4" t="s">
        <v>32</v>
      </c>
      <c r="J214" s="4" t="s">
        <v>33</v>
      </c>
      <c r="K214" s="4" t="s">
        <v>26</v>
      </c>
      <c r="L214" s="5">
        <v>45352</v>
      </c>
      <c r="M214" s="4">
        <v>3499.95</v>
      </c>
      <c r="N214">
        <f t="shared" si="9"/>
        <v>2025</v>
      </c>
      <c r="O214">
        <f t="shared" si="10"/>
        <v>2</v>
      </c>
      <c r="P214" t="str">
        <f t="shared" si="11"/>
        <v>2025-02</v>
      </c>
    </row>
    <row r="215" spans="1:16" ht="15.75" customHeight="1" x14ac:dyDescent="0.3">
      <c r="A215" s="5">
        <v>45707</v>
      </c>
      <c r="B215" s="4" t="s">
        <v>38</v>
      </c>
      <c r="C215" s="4" t="s">
        <v>39</v>
      </c>
      <c r="D215" s="4" t="s">
        <v>40</v>
      </c>
      <c r="E215" s="4" t="s">
        <v>41</v>
      </c>
      <c r="F215" s="4" t="s">
        <v>42</v>
      </c>
      <c r="G215" s="4">
        <v>3</v>
      </c>
      <c r="H215" s="4">
        <v>149.99</v>
      </c>
      <c r="I215" s="4" t="s">
        <v>32</v>
      </c>
      <c r="J215" s="4" t="s">
        <v>21</v>
      </c>
      <c r="K215" s="4" t="s">
        <v>34</v>
      </c>
      <c r="L215" s="5">
        <v>44633</v>
      </c>
      <c r="M215" s="4">
        <v>449.97</v>
      </c>
      <c r="N215">
        <f t="shared" si="9"/>
        <v>2025</v>
      </c>
      <c r="O215">
        <f t="shared" si="10"/>
        <v>2</v>
      </c>
      <c r="P215" t="str">
        <f t="shared" si="11"/>
        <v>2025-02</v>
      </c>
    </row>
    <row r="216" spans="1:16" ht="15.75" customHeight="1" x14ac:dyDescent="0.3">
      <c r="A216" s="5">
        <v>45708</v>
      </c>
      <c r="B216" s="4" t="s">
        <v>76</v>
      </c>
      <c r="C216" s="4" t="s">
        <v>77</v>
      </c>
      <c r="D216" s="4" t="s">
        <v>53</v>
      </c>
      <c r="E216" s="4" t="s">
        <v>54</v>
      </c>
      <c r="F216" s="4" t="s">
        <v>19</v>
      </c>
      <c r="G216" s="4">
        <v>3</v>
      </c>
      <c r="H216" s="4">
        <v>899.99</v>
      </c>
      <c r="I216" s="4" t="s">
        <v>20</v>
      </c>
      <c r="J216" s="4" t="s">
        <v>55</v>
      </c>
      <c r="K216" s="4" t="s">
        <v>34</v>
      </c>
      <c r="L216" s="5">
        <v>44613</v>
      </c>
      <c r="M216" s="4">
        <v>2699.97</v>
      </c>
      <c r="N216">
        <f t="shared" si="9"/>
        <v>2025</v>
      </c>
      <c r="O216">
        <f t="shared" si="10"/>
        <v>2</v>
      </c>
      <c r="P216" t="str">
        <f t="shared" si="11"/>
        <v>2025-02</v>
      </c>
    </row>
    <row r="217" spans="1:16" ht="15.75" customHeight="1" x14ac:dyDescent="0.3">
      <c r="A217" s="5">
        <v>45708</v>
      </c>
      <c r="B217" s="4" t="s">
        <v>124</v>
      </c>
      <c r="C217" s="4" t="s">
        <v>125</v>
      </c>
      <c r="D217" s="4" t="s">
        <v>96</v>
      </c>
      <c r="E217" s="4" t="s">
        <v>97</v>
      </c>
      <c r="F217" s="4" t="s">
        <v>42</v>
      </c>
      <c r="G217" s="4">
        <v>3</v>
      </c>
      <c r="H217" s="4">
        <v>199.99</v>
      </c>
      <c r="I217" s="4" t="s">
        <v>20</v>
      </c>
      <c r="J217" s="4" t="s">
        <v>45</v>
      </c>
      <c r="K217" s="4" t="s">
        <v>26</v>
      </c>
      <c r="L217" s="5">
        <v>44823</v>
      </c>
      <c r="M217" s="4">
        <v>599.97</v>
      </c>
      <c r="N217">
        <f t="shared" si="9"/>
        <v>2025</v>
      </c>
      <c r="O217">
        <f t="shared" si="10"/>
        <v>2</v>
      </c>
      <c r="P217" t="str">
        <f t="shared" si="11"/>
        <v>2025-02</v>
      </c>
    </row>
    <row r="218" spans="1:16" ht="15.75" customHeight="1" x14ac:dyDescent="0.3">
      <c r="A218" s="5">
        <v>45710</v>
      </c>
      <c r="B218" s="4" t="s">
        <v>48</v>
      </c>
      <c r="C218" s="4" t="s">
        <v>49</v>
      </c>
      <c r="D218" s="4" t="s">
        <v>82</v>
      </c>
      <c r="E218" s="4" t="s">
        <v>83</v>
      </c>
      <c r="F218" s="4" t="s">
        <v>42</v>
      </c>
      <c r="G218" s="4">
        <v>5</v>
      </c>
      <c r="H218" s="4">
        <v>299.99</v>
      </c>
      <c r="I218" s="4" t="s">
        <v>20</v>
      </c>
      <c r="J218" s="4" t="s">
        <v>45</v>
      </c>
      <c r="K218" s="4" t="s">
        <v>34</v>
      </c>
      <c r="L218" s="5">
        <v>45142</v>
      </c>
      <c r="M218" s="4">
        <v>1499.95</v>
      </c>
      <c r="N218">
        <f t="shared" si="9"/>
        <v>2025</v>
      </c>
      <c r="O218">
        <f t="shared" si="10"/>
        <v>2</v>
      </c>
      <c r="P218" t="str">
        <f t="shared" si="11"/>
        <v>2025-02</v>
      </c>
    </row>
    <row r="219" spans="1:16" ht="15.75" customHeight="1" x14ac:dyDescent="0.3">
      <c r="A219" s="5">
        <v>45710</v>
      </c>
      <c r="B219" s="4" t="s">
        <v>110</v>
      </c>
      <c r="C219" s="4" t="s">
        <v>111</v>
      </c>
      <c r="D219" s="4" t="s">
        <v>66</v>
      </c>
      <c r="E219" s="4" t="s">
        <v>67</v>
      </c>
      <c r="F219" s="4" t="s">
        <v>19</v>
      </c>
      <c r="G219" s="4">
        <v>1</v>
      </c>
      <c r="H219" s="4">
        <v>699.99</v>
      </c>
      <c r="I219" s="4" t="s">
        <v>32</v>
      </c>
      <c r="J219" s="4" t="s">
        <v>45</v>
      </c>
      <c r="K219" s="4" t="s">
        <v>22</v>
      </c>
      <c r="L219" s="5">
        <v>44934</v>
      </c>
      <c r="M219" s="4">
        <v>699.99</v>
      </c>
      <c r="N219">
        <f t="shared" si="9"/>
        <v>2025</v>
      </c>
      <c r="O219">
        <f t="shared" si="10"/>
        <v>2</v>
      </c>
      <c r="P219" t="str">
        <f t="shared" si="11"/>
        <v>2025-02</v>
      </c>
    </row>
    <row r="220" spans="1:16" ht="15.75" customHeight="1" x14ac:dyDescent="0.3">
      <c r="A220" s="5">
        <v>45711</v>
      </c>
      <c r="B220" s="4" t="s">
        <v>136</v>
      </c>
      <c r="C220" s="4" t="s">
        <v>137</v>
      </c>
      <c r="D220" s="4" t="s">
        <v>66</v>
      </c>
      <c r="E220" s="4" t="s">
        <v>67</v>
      </c>
      <c r="F220" s="4" t="s">
        <v>19</v>
      </c>
      <c r="G220" s="4">
        <v>1</v>
      </c>
      <c r="H220" s="4">
        <v>699.99</v>
      </c>
      <c r="I220" s="4" t="s">
        <v>20</v>
      </c>
      <c r="J220" s="4" t="s">
        <v>37</v>
      </c>
      <c r="K220" s="4" t="s">
        <v>26</v>
      </c>
      <c r="L220" s="5">
        <v>44583</v>
      </c>
      <c r="M220" s="4">
        <v>699.99</v>
      </c>
      <c r="N220">
        <f t="shared" si="9"/>
        <v>2025</v>
      </c>
      <c r="O220">
        <f t="shared" si="10"/>
        <v>2</v>
      </c>
      <c r="P220" t="str">
        <f t="shared" si="11"/>
        <v>2025-02</v>
      </c>
    </row>
    <row r="221" spans="1:16" ht="15.75" customHeight="1" x14ac:dyDescent="0.3">
      <c r="A221" s="5">
        <v>45711</v>
      </c>
      <c r="B221" s="4" t="s">
        <v>146</v>
      </c>
      <c r="C221" s="4" t="s">
        <v>147</v>
      </c>
      <c r="D221" s="4" t="s">
        <v>40</v>
      </c>
      <c r="E221" s="4" t="s">
        <v>41</v>
      </c>
      <c r="F221" s="4" t="s">
        <v>42</v>
      </c>
      <c r="G221" s="4">
        <v>4</v>
      </c>
      <c r="H221" s="4">
        <v>149.99</v>
      </c>
      <c r="I221" s="4" t="s">
        <v>32</v>
      </c>
      <c r="J221" s="4" t="s">
        <v>37</v>
      </c>
      <c r="K221" s="4" t="s">
        <v>26</v>
      </c>
      <c r="L221" s="5">
        <v>44412</v>
      </c>
      <c r="M221" s="4">
        <v>599.96</v>
      </c>
      <c r="N221">
        <f t="shared" si="9"/>
        <v>2025</v>
      </c>
      <c r="O221">
        <f t="shared" si="10"/>
        <v>2</v>
      </c>
      <c r="P221" t="str">
        <f t="shared" si="11"/>
        <v>2025-02</v>
      </c>
    </row>
    <row r="222" spans="1:16" ht="15.75" customHeight="1" x14ac:dyDescent="0.3">
      <c r="A222" s="5">
        <v>45711</v>
      </c>
      <c r="B222" s="4" t="s">
        <v>128</v>
      </c>
      <c r="C222" s="4" t="s">
        <v>129</v>
      </c>
      <c r="D222" s="4" t="s">
        <v>90</v>
      </c>
      <c r="E222" s="4" t="s">
        <v>91</v>
      </c>
      <c r="F222" s="4" t="s">
        <v>19</v>
      </c>
      <c r="G222" s="4">
        <v>5</v>
      </c>
      <c r="H222" s="4">
        <v>89.99</v>
      </c>
      <c r="I222" s="4" t="s">
        <v>32</v>
      </c>
      <c r="J222" s="4" t="s">
        <v>45</v>
      </c>
      <c r="K222" s="4" t="s">
        <v>26</v>
      </c>
      <c r="L222" s="5">
        <v>45140</v>
      </c>
      <c r="M222" s="4">
        <v>449.95</v>
      </c>
      <c r="N222">
        <f t="shared" si="9"/>
        <v>2025</v>
      </c>
      <c r="O222">
        <f t="shared" si="10"/>
        <v>2</v>
      </c>
      <c r="P222" t="str">
        <f t="shared" si="11"/>
        <v>2025-02</v>
      </c>
    </row>
    <row r="223" spans="1:16" ht="15.75" customHeight="1" x14ac:dyDescent="0.3">
      <c r="A223" s="5">
        <v>45712</v>
      </c>
      <c r="B223" s="4" t="s">
        <v>102</v>
      </c>
      <c r="C223" s="4" t="s">
        <v>103</v>
      </c>
      <c r="D223" s="4" t="s">
        <v>96</v>
      </c>
      <c r="E223" s="4" t="s">
        <v>97</v>
      </c>
      <c r="F223" s="4" t="s">
        <v>42</v>
      </c>
      <c r="G223" s="4">
        <v>2</v>
      </c>
      <c r="H223" s="4">
        <v>199.99</v>
      </c>
      <c r="I223" s="4" t="s">
        <v>20</v>
      </c>
      <c r="J223" s="4" t="s">
        <v>21</v>
      </c>
      <c r="K223" s="4" t="s">
        <v>26</v>
      </c>
      <c r="L223" s="5">
        <v>44573</v>
      </c>
      <c r="M223" s="4">
        <v>399.98</v>
      </c>
      <c r="N223">
        <f t="shared" si="9"/>
        <v>2025</v>
      </c>
      <c r="O223">
        <f t="shared" si="10"/>
        <v>2</v>
      </c>
      <c r="P223" t="str">
        <f t="shared" si="11"/>
        <v>2025-02</v>
      </c>
    </row>
    <row r="224" spans="1:16" ht="15.75" customHeight="1" x14ac:dyDescent="0.3">
      <c r="A224" s="5">
        <v>45715</v>
      </c>
      <c r="B224" s="4" t="s">
        <v>140</v>
      </c>
      <c r="C224" s="4" t="s">
        <v>141</v>
      </c>
      <c r="D224" s="4" t="s">
        <v>29</v>
      </c>
      <c r="E224" s="4" t="s">
        <v>30</v>
      </c>
      <c r="F224" s="4" t="s">
        <v>31</v>
      </c>
      <c r="G224" s="4">
        <v>4</v>
      </c>
      <c r="H224" s="4">
        <v>59.99</v>
      </c>
      <c r="I224" s="4" t="s">
        <v>20</v>
      </c>
      <c r="J224" s="4" t="s">
        <v>45</v>
      </c>
      <c r="K224" s="4" t="s">
        <v>34</v>
      </c>
      <c r="L224" s="5">
        <v>45070</v>
      </c>
      <c r="M224" s="4">
        <v>239.96</v>
      </c>
      <c r="N224">
        <f t="shared" si="9"/>
        <v>2025</v>
      </c>
      <c r="O224">
        <f t="shared" si="10"/>
        <v>2</v>
      </c>
      <c r="P224" t="str">
        <f t="shared" si="11"/>
        <v>2025-02</v>
      </c>
    </row>
    <row r="225" spans="1:16" ht="15.75" customHeight="1" x14ac:dyDescent="0.3">
      <c r="A225" s="5">
        <v>45715</v>
      </c>
      <c r="B225" s="4" t="s">
        <v>74</v>
      </c>
      <c r="C225" s="4" t="s">
        <v>75</v>
      </c>
      <c r="D225" s="4" t="s">
        <v>82</v>
      </c>
      <c r="E225" s="4" t="s">
        <v>83</v>
      </c>
      <c r="F225" s="4" t="s">
        <v>42</v>
      </c>
      <c r="G225" s="4">
        <v>2</v>
      </c>
      <c r="H225" s="4">
        <v>299.99</v>
      </c>
      <c r="I225" s="4" t="s">
        <v>32</v>
      </c>
      <c r="J225" s="4" t="s">
        <v>33</v>
      </c>
      <c r="K225" s="4" t="s">
        <v>22</v>
      </c>
      <c r="L225" s="5">
        <v>44576</v>
      </c>
      <c r="M225" s="4">
        <v>599.98</v>
      </c>
      <c r="N225">
        <f t="shared" si="9"/>
        <v>2025</v>
      </c>
      <c r="O225">
        <f t="shared" si="10"/>
        <v>2</v>
      </c>
      <c r="P225" t="str">
        <f t="shared" si="11"/>
        <v>2025-02</v>
      </c>
    </row>
    <row r="226" spans="1:16" ht="15.75" customHeight="1" x14ac:dyDescent="0.3">
      <c r="A226" s="5">
        <v>45718</v>
      </c>
      <c r="B226" s="4" t="s">
        <v>48</v>
      </c>
      <c r="C226" s="4" t="s">
        <v>49</v>
      </c>
      <c r="D226" s="4" t="s">
        <v>40</v>
      </c>
      <c r="E226" s="4" t="s">
        <v>41</v>
      </c>
      <c r="F226" s="4" t="s">
        <v>42</v>
      </c>
      <c r="G226" s="4">
        <v>2</v>
      </c>
      <c r="H226" s="4">
        <v>149.99</v>
      </c>
      <c r="I226" s="4" t="s">
        <v>20</v>
      </c>
      <c r="J226" s="4" t="s">
        <v>21</v>
      </c>
      <c r="K226" s="4" t="s">
        <v>22</v>
      </c>
      <c r="L226" s="5">
        <v>45068</v>
      </c>
      <c r="M226" s="4">
        <v>299.98</v>
      </c>
      <c r="N226">
        <f t="shared" si="9"/>
        <v>2025</v>
      </c>
      <c r="O226">
        <f t="shared" si="10"/>
        <v>3</v>
      </c>
      <c r="P226" t="str">
        <f t="shared" si="11"/>
        <v>2025-03</v>
      </c>
    </row>
    <row r="227" spans="1:16" ht="15.75" customHeight="1" x14ac:dyDescent="0.3">
      <c r="A227" s="5">
        <v>45720</v>
      </c>
      <c r="B227" s="4" t="s">
        <v>130</v>
      </c>
      <c r="C227" s="4" t="s">
        <v>131</v>
      </c>
      <c r="D227" s="4" t="s">
        <v>66</v>
      </c>
      <c r="E227" s="4" t="s">
        <v>67</v>
      </c>
      <c r="F227" s="4" t="s">
        <v>19</v>
      </c>
      <c r="G227" s="4">
        <v>5</v>
      </c>
      <c r="H227" s="4">
        <v>699.99</v>
      </c>
      <c r="I227" s="4" t="s">
        <v>50</v>
      </c>
      <c r="J227" s="4" t="s">
        <v>55</v>
      </c>
      <c r="K227" s="4" t="s">
        <v>26</v>
      </c>
      <c r="L227" s="5">
        <v>45161</v>
      </c>
      <c r="M227" s="4">
        <v>3499.95</v>
      </c>
      <c r="N227">
        <f t="shared" si="9"/>
        <v>2025</v>
      </c>
      <c r="O227">
        <f t="shared" si="10"/>
        <v>3</v>
      </c>
      <c r="P227" t="str">
        <f t="shared" si="11"/>
        <v>2025-03</v>
      </c>
    </row>
    <row r="228" spans="1:16" ht="15.75" customHeight="1" x14ac:dyDescent="0.3">
      <c r="A228" s="5">
        <v>45721</v>
      </c>
      <c r="B228" s="4" t="s">
        <v>62</v>
      </c>
      <c r="C228" s="4" t="s">
        <v>63</v>
      </c>
      <c r="D228" s="4" t="s">
        <v>29</v>
      </c>
      <c r="E228" s="4" t="s">
        <v>30</v>
      </c>
      <c r="F228" s="4" t="s">
        <v>31</v>
      </c>
      <c r="G228" s="4">
        <v>5</v>
      </c>
      <c r="H228" s="4">
        <v>59.99</v>
      </c>
      <c r="I228" s="4" t="s">
        <v>20</v>
      </c>
      <c r="J228" s="4" t="s">
        <v>45</v>
      </c>
      <c r="K228" s="4" t="s">
        <v>26</v>
      </c>
      <c r="L228" s="5">
        <v>45291</v>
      </c>
      <c r="M228" s="4">
        <v>299.95</v>
      </c>
      <c r="N228">
        <f t="shared" si="9"/>
        <v>2025</v>
      </c>
      <c r="O228">
        <f t="shared" si="10"/>
        <v>3</v>
      </c>
      <c r="P228" t="str">
        <f t="shared" si="11"/>
        <v>2025-03</v>
      </c>
    </row>
    <row r="229" spans="1:16" ht="15.75" customHeight="1" x14ac:dyDescent="0.3">
      <c r="A229" s="5">
        <v>45723</v>
      </c>
      <c r="B229" s="4" t="s">
        <v>15</v>
      </c>
      <c r="C229" s="4" t="s">
        <v>16</v>
      </c>
      <c r="D229" s="4" t="s">
        <v>90</v>
      </c>
      <c r="E229" s="4" t="s">
        <v>91</v>
      </c>
      <c r="F229" s="4" t="s">
        <v>19</v>
      </c>
      <c r="G229" s="4">
        <v>2</v>
      </c>
      <c r="H229" s="4">
        <v>89.99</v>
      </c>
      <c r="I229" s="4" t="s">
        <v>25</v>
      </c>
      <c r="J229" s="4" t="s">
        <v>45</v>
      </c>
      <c r="K229" s="4" t="s">
        <v>26</v>
      </c>
      <c r="L229" s="5">
        <v>45295</v>
      </c>
      <c r="M229" s="4">
        <v>179.98</v>
      </c>
      <c r="N229">
        <f t="shared" si="9"/>
        <v>2025</v>
      </c>
      <c r="O229">
        <f t="shared" si="10"/>
        <v>3</v>
      </c>
      <c r="P229" t="str">
        <f t="shared" si="11"/>
        <v>2025-03</v>
      </c>
    </row>
    <row r="230" spans="1:16" ht="15.75" customHeight="1" x14ac:dyDescent="0.3">
      <c r="A230" s="5">
        <v>45723</v>
      </c>
      <c r="B230" s="4" t="s">
        <v>92</v>
      </c>
      <c r="C230" s="4" t="s">
        <v>93</v>
      </c>
      <c r="D230" s="4" t="s">
        <v>17</v>
      </c>
      <c r="E230" s="4" t="s">
        <v>18</v>
      </c>
      <c r="F230" s="4" t="s">
        <v>19</v>
      </c>
      <c r="G230" s="4">
        <v>5</v>
      </c>
      <c r="H230" s="4">
        <v>249.99</v>
      </c>
      <c r="I230" s="4" t="s">
        <v>20</v>
      </c>
      <c r="J230" s="4" t="s">
        <v>55</v>
      </c>
      <c r="K230" s="4" t="s">
        <v>34</v>
      </c>
      <c r="L230" s="5">
        <v>44540</v>
      </c>
      <c r="M230" s="4">
        <v>1249.95</v>
      </c>
      <c r="N230">
        <f t="shared" si="9"/>
        <v>2025</v>
      </c>
      <c r="O230">
        <f t="shared" si="10"/>
        <v>3</v>
      </c>
      <c r="P230" t="str">
        <f t="shared" si="11"/>
        <v>2025-03</v>
      </c>
    </row>
    <row r="231" spans="1:16" ht="15.75" customHeight="1" x14ac:dyDescent="0.3">
      <c r="A231" s="5">
        <v>45724</v>
      </c>
      <c r="B231" s="4" t="s">
        <v>130</v>
      </c>
      <c r="C231" s="4" t="s">
        <v>131</v>
      </c>
      <c r="D231" s="4" t="s">
        <v>40</v>
      </c>
      <c r="E231" s="4" t="s">
        <v>41</v>
      </c>
      <c r="F231" s="4" t="s">
        <v>42</v>
      </c>
      <c r="G231" s="4">
        <v>2</v>
      </c>
      <c r="H231" s="4">
        <v>149.99</v>
      </c>
      <c r="I231" s="4" t="s">
        <v>32</v>
      </c>
      <c r="J231" s="4" t="s">
        <v>21</v>
      </c>
      <c r="K231" s="4" t="s">
        <v>26</v>
      </c>
      <c r="L231" s="5">
        <v>44632</v>
      </c>
      <c r="M231" s="4">
        <v>299.98</v>
      </c>
      <c r="N231">
        <f t="shared" si="9"/>
        <v>2025</v>
      </c>
      <c r="O231">
        <f t="shared" si="10"/>
        <v>3</v>
      </c>
      <c r="P231" t="str">
        <f t="shared" si="11"/>
        <v>2025-03</v>
      </c>
    </row>
    <row r="232" spans="1:16" ht="15.75" customHeight="1" x14ac:dyDescent="0.3">
      <c r="A232" s="5">
        <v>45724</v>
      </c>
      <c r="B232" s="4" t="s">
        <v>106</v>
      </c>
      <c r="C232" s="4" t="s">
        <v>107</v>
      </c>
      <c r="D232" s="4" t="s">
        <v>53</v>
      </c>
      <c r="E232" s="4" t="s">
        <v>54</v>
      </c>
      <c r="F232" s="4" t="s">
        <v>19</v>
      </c>
      <c r="G232" s="4">
        <v>5</v>
      </c>
      <c r="H232" s="4">
        <v>899.99</v>
      </c>
      <c r="I232" s="4" t="s">
        <v>32</v>
      </c>
      <c r="J232" s="4" t="s">
        <v>55</v>
      </c>
      <c r="K232" s="4" t="s">
        <v>26</v>
      </c>
      <c r="L232" s="5">
        <v>45389</v>
      </c>
      <c r="M232" s="4">
        <v>4499.95</v>
      </c>
      <c r="N232">
        <f t="shared" si="9"/>
        <v>2025</v>
      </c>
      <c r="O232">
        <f t="shared" si="10"/>
        <v>3</v>
      </c>
      <c r="P232" t="str">
        <f t="shared" si="11"/>
        <v>2025-03</v>
      </c>
    </row>
    <row r="233" spans="1:16" ht="15.75" customHeight="1" x14ac:dyDescent="0.3">
      <c r="A233" s="5">
        <v>45724</v>
      </c>
      <c r="B233" s="4" t="s">
        <v>48</v>
      </c>
      <c r="C233" s="4" t="s">
        <v>49</v>
      </c>
      <c r="D233" s="4" t="s">
        <v>40</v>
      </c>
      <c r="E233" s="4" t="s">
        <v>41</v>
      </c>
      <c r="F233" s="4" t="s">
        <v>42</v>
      </c>
      <c r="G233" s="4">
        <v>4</v>
      </c>
      <c r="H233" s="4">
        <v>149.99</v>
      </c>
      <c r="I233" s="4" t="s">
        <v>20</v>
      </c>
      <c r="J233" s="4" t="s">
        <v>21</v>
      </c>
      <c r="K233" s="4" t="s">
        <v>34</v>
      </c>
      <c r="L233" s="5">
        <v>45263</v>
      </c>
      <c r="M233" s="4">
        <v>599.96</v>
      </c>
      <c r="N233">
        <f t="shared" si="9"/>
        <v>2025</v>
      </c>
      <c r="O233">
        <f t="shared" si="10"/>
        <v>3</v>
      </c>
      <c r="P233" t="str">
        <f t="shared" si="11"/>
        <v>2025-03</v>
      </c>
    </row>
    <row r="234" spans="1:16" ht="15.75" customHeight="1" x14ac:dyDescent="0.3">
      <c r="A234" s="5">
        <v>45726</v>
      </c>
      <c r="B234" s="4" t="s">
        <v>106</v>
      </c>
      <c r="C234" s="4" t="s">
        <v>107</v>
      </c>
      <c r="D234" s="4" t="s">
        <v>17</v>
      </c>
      <c r="E234" s="4" t="s">
        <v>18</v>
      </c>
      <c r="F234" s="4" t="s">
        <v>19</v>
      </c>
      <c r="G234" s="4">
        <v>1</v>
      </c>
      <c r="H234" s="4">
        <v>249.99</v>
      </c>
      <c r="I234" s="4" t="s">
        <v>20</v>
      </c>
      <c r="J234" s="4" t="s">
        <v>37</v>
      </c>
      <c r="K234" s="4" t="s">
        <v>34</v>
      </c>
      <c r="L234" s="5">
        <v>45117</v>
      </c>
      <c r="M234" s="4">
        <v>249.99</v>
      </c>
      <c r="N234">
        <f t="shared" si="9"/>
        <v>2025</v>
      </c>
      <c r="O234">
        <f t="shared" si="10"/>
        <v>3</v>
      </c>
      <c r="P234" t="str">
        <f t="shared" si="11"/>
        <v>2025-03</v>
      </c>
    </row>
    <row r="235" spans="1:16" ht="15.75" customHeight="1" x14ac:dyDescent="0.3">
      <c r="A235" s="5">
        <v>45734</v>
      </c>
      <c r="B235" s="4" t="s">
        <v>124</v>
      </c>
      <c r="C235" s="4" t="s">
        <v>125</v>
      </c>
      <c r="D235" s="4" t="s">
        <v>29</v>
      </c>
      <c r="E235" s="4" t="s">
        <v>30</v>
      </c>
      <c r="F235" s="4" t="s">
        <v>31</v>
      </c>
      <c r="G235" s="4">
        <v>2</v>
      </c>
      <c r="H235" s="4">
        <v>59.99</v>
      </c>
      <c r="I235" s="4" t="s">
        <v>25</v>
      </c>
      <c r="J235" s="4" t="s">
        <v>45</v>
      </c>
      <c r="K235" s="4" t="s">
        <v>22</v>
      </c>
      <c r="L235" s="5">
        <v>45193</v>
      </c>
      <c r="M235" s="4">
        <v>119.98</v>
      </c>
      <c r="N235">
        <f t="shared" si="9"/>
        <v>2025</v>
      </c>
      <c r="O235">
        <f t="shared" si="10"/>
        <v>3</v>
      </c>
      <c r="P235" t="str">
        <f t="shared" si="11"/>
        <v>2025-03</v>
      </c>
    </row>
    <row r="236" spans="1:16" ht="15.75" customHeight="1" x14ac:dyDescent="0.3">
      <c r="A236" s="5">
        <v>45737</v>
      </c>
      <c r="B236" s="4" t="s">
        <v>100</v>
      </c>
      <c r="C236" s="4" t="s">
        <v>101</v>
      </c>
      <c r="D236" s="4" t="s">
        <v>40</v>
      </c>
      <c r="E236" s="4" t="s">
        <v>41</v>
      </c>
      <c r="F236" s="4" t="s">
        <v>42</v>
      </c>
      <c r="G236" s="4">
        <v>2</v>
      </c>
      <c r="H236" s="4">
        <v>149.99</v>
      </c>
      <c r="I236" s="4" t="s">
        <v>20</v>
      </c>
      <c r="J236" s="4" t="s">
        <v>45</v>
      </c>
      <c r="K236" s="4" t="s">
        <v>26</v>
      </c>
      <c r="L236" s="5">
        <v>45233</v>
      </c>
      <c r="M236" s="4">
        <v>299.98</v>
      </c>
      <c r="N236">
        <f t="shared" si="9"/>
        <v>2025</v>
      </c>
      <c r="O236">
        <f t="shared" si="10"/>
        <v>3</v>
      </c>
      <c r="P236" t="str">
        <f t="shared" si="11"/>
        <v>2025-03</v>
      </c>
    </row>
    <row r="237" spans="1:16" ht="15.75" customHeight="1" x14ac:dyDescent="0.3">
      <c r="A237" s="5">
        <v>45737</v>
      </c>
      <c r="B237" s="4" t="s">
        <v>110</v>
      </c>
      <c r="C237" s="4" t="s">
        <v>111</v>
      </c>
      <c r="D237" s="4" t="s">
        <v>53</v>
      </c>
      <c r="E237" s="4" t="s">
        <v>54</v>
      </c>
      <c r="F237" s="4" t="s">
        <v>19</v>
      </c>
      <c r="G237" s="4">
        <v>3</v>
      </c>
      <c r="H237" s="4">
        <v>899.99</v>
      </c>
      <c r="I237" s="4" t="s">
        <v>50</v>
      </c>
      <c r="J237" s="4" t="s">
        <v>37</v>
      </c>
      <c r="K237" s="4" t="s">
        <v>26</v>
      </c>
      <c r="L237" s="5">
        <v>44876</v>
      </c>
      <c r="M237" s="4">
        <v>2699.97</v>
      </c>
      <c r="N237">
        <f t="shared" si="9"/>
        <v>2025</v>
      </c>
      <c r="O237">
        <f t="shared" si="10"/>
        <v>3</v>
      </c>
      <c r="P237" t="str">
        <f t="shared" si="11"/>
        <v>2025-03</v>
      </c>
    </row>
    <row r="238" spans="1:16" ht="15.75" customHeight="1" x14ac:dyDescent="0.3">
      <c r="A238" s="5">
        <v>45737</v>
      </c>
      <c r="B238" s="4" t="s">
        <v>43</v>
      </c>
      <c r="C238" s="4" t="s">
        <v>44</v>
      </c>
      <c r="D238" s="4" t="s">
        <v>53</v>
      </c>
      <c r="E238" s="4" t="s">
        <v>54</v>
      </c>
      <c r="F238" s="4" t="s">
        <v>19</v>
      </c>
      <c r="G238" s="4">
        <v>3</v>
      </c>
      <c r="H238" s="4">
        <v>899.99</v>
      </c>
      <c r="I238" s="4" t="s">
        <v>32</v>
      </c>
      <c r="J238" s="4" t="s">
        <v>37</v>
      </c>
      <c r="K238" s="4" t="s">
        <v>22</v>
      </c>
      <c r="L238" s="5">
        <v>44975</v>
      </c>
      <c r="M238" s="4">
        <v>2699.97</v>
      </c>
      <c r="N238">
        <f t="shared" si="9"/>
        <v>2025</v>
      </c>
      <c r="O238">
        <f t="shared" si="10"/>
        <v>3</v>
      </c>
      <c r="P238" t="str">
        <f t="shared" si="11"/>
        <v>2025-03</v>
      </c>
    </row>
    <row r="239" spans="1:16" ht="15.75" customHeight="1" x14ac:dyDescent="0.3">
      <c r="A239" s="5">
        <v>45739</v>
      </c>
      <c r="B239" s="4" t="s">
        <v>15</v>
      </c>
      <c r="C239" s="4" t="s">
        <v>16</v>
      </c>
      <c r="D239" s="4" t="s">
        <v>82</v>
      </c>
      <c r="E239" s="4" t="s">
        <v>83</v>
      </c>
      <c r="F239" s="4" t="s">
        <v>42</v>
      </c>
      <c r="G239" s="4">
        <v>3</v>
      </c>
      <c r="H239" s="4">
        <v>299.99</v>
      </c>
      <c r="I239" s="4" t="s">
        <v>25</v>
      </c>
      <c r="J239" s="4" t="s">
        <v>45</v>
      </c>
      <c r="K239" s="4" t="s">
        <v>26</v>
      </c>
      <c r="L239" s="5">
        <v>45234</v>
      </c>
      <c r="M239" s="4">
        <v>899.97</v>
      </c>
      <c r="N239">
        <f t="shared" si="9"/>
        <v>2025</v>
      </c>
      <c r="O239">
        <f t="shared" si="10"/>
        <v>3</v>
      </c>
      <c r="P239" t="str">
        <f t="shared" si="11"/>
        <v>2025-03</v>
      </c>
    </row>
    <row r="240" spans="1:16" ht="15.75" customHeight="1" x14ac:dyDescent="0.3">
      <c r="A240" s="5">
        <v>45740</v>
      </c>
      <c r="B240" s="4" t="s">
        <v>148</v>
      </c>
      <c r="C240" s="4" t="s">
        <v>149</v>
      </c>
      <c r="D240" s="4" t="s">
        <v>40</v>
      </c>
      <c r="E240" s="4" t="s">
        <v>41</v>
      </c>
      <c r="F240" s="4" t="s">
        <v>42</v>
      </c>
      <c r="G240" s="4">
        <v>4</v>
      </c>
      <c r="H240" s="4">
        <v>149.99</v>
      </c>
      <c r="I240" s="4" t="s">
        <v>32</v>
      </c>
      <c r="J240" s="4" t="s">
        <v>45</v>
      </c>
      <c r="K240" s="4" t="s">
        <v>34</v>
      </c>
      <c r="L240" s="5">
        <v>44560</v>
      </c>
      <c r="M240" s="4">
        <v>599.96</v>
      </c>
      <c r="N240">
        <f t="shared" si="9"/>
        <v>2025</v>
      </c>
      <c r="O240">
        <f t="shared" si="10"/>
        <v>3</v>
      </c>
      <c r="P240" t="str">
        <f t="shared" si="11"/>
        <v>2025-03</v>
      </c>
    </row>
    <row r="241" spans="1:16" ht="15.75" customHeight="1" x14ac:dyDescent="0.3">
      <c r="A241" s="5">
        <v>45743</v>
      </c>
      <c r="B241" s="4" t="s">
        <v>80</v>
      </c>
      <c r="C241" s="4" t="s">
        <v>81</v>
      </c>
      <c r="D241" s="4" t="s">
        <v>88</v>
      </c>
      <c r="E241" s="4" t="s">
        <v>89</v>
      </c>
      <c r="F241" s="4" t="s">
        <v>31</v>
      </c>
      <c r="G241" s="4">
        <v>4</v>
      </c>
      <c r="H241" s="4">
        <v>79.989999999999995</v>
      </c>
      <c r="I241" s="4" t="s">
        <v>25</v>
      </c>
      <c r="J241" s="4" t="s">
        <v>21</v>
      </c>
      <c r="K241" s="4" t="s">
        <v>22</v>
      </c>
      <c r="L241" s="5">
        <v>45288</v>
      </c>
      <c r="M241" s="4">
        <v>319.95999999999998</v>
      </c>
      <c r="N241">
        <f t="shared" si="9"/>
        <v>2025</v>
      </c>
      <c r="O241">
        <f t="shared" si="10"/>
        <v>3</v>
      </c>
      <c r="P241" t="str">
        <f t="shared" si="11"/>
        <v>2025-03</v>
      </c>
    </row>
    <row r="242" spans="1:16" ht="15.75" customHeight="1" x14ac:dyDescent="0.3">
      <c r="A242" s="5">
        <v>45745</v>
      </c>
      <c r="B242" s="4" t="s">
        <v>122</v>
      </c>
      <c r="C242" s="4" t="s">
        <v>123</v>
      </c>
      <c r="D242" s="4" t="s">
        <v>90</v>
      </c>
      <c r="E242" s="4" t="s">
        <v>91</v>
      </c>
      <c r="F242" s="4" t="s">
        <v>19</v>
      </c>
      <c r="G242" s="4">
        <v>5</v>
      </c>
      <c r="H242" s="4">
        <v>89.99</v>
      </c>
      <c r="I242" s="4" t="s">
        <v>32</v>
      </c>
      <c r="J242" s="4" t="s">
        <v>33</v>
      </c>
      <c r="K242" s="4" t="s">
        <v>22</v>
      </c>
      <c r="L242" s="5">
        <v>44704</v>
      </c>
      <c r="M242" s="4">
        <v>449.95</v>
      </c>
      <c r="N242">
        <f t="shared" si="9"/>
        <v>2025</v>
      </c>
      <c r="O242">
        <f t="shared" si="10"/>
        <v>3</v>
      </c>
      <c r="P242" t="str">
        <f t="shared" si="11"/>
        <v>2025-03</v>
      </c>
    </row>
    <row r="243" spans="1:16" ht="15.75" customHeight="1" x14ac:dyDescent="0.3">
      <c r="A243" s="5">
        <v>45746</v>
      </c>
      <c r="B243" s="4" t="s">
        <v>74</v>
      </c>
      <c r="C243" s="4" t="s">
        <v>75</v>
      </c>
      <c r="D243" s="4" t="s">
        <v>40</v>
      </c>
      <c r="E243" s="4" t="s">
        <v>41</v>
      </c>
      <c r="F243" s="4" t="s">
        <v>42</v>
      </c>
      <c r="G243" s="4">
        <v>3</v>
      </c>
      <c r="H243" s="4">
        <v>149.99</v>
      </c>
      <c r="I243" s="4" t="s">
        <v>32</v>
      </c>
      <c r="J243" s="4" t="s">
        <v>21</v>
      </c>
      <c r="K243" s="4" t="s">
        <v>34</v>
      </c>
      <c r="L243" s="5">
        <v>45171</v>
      </c>
      <c r="M243" s="4">
        <v>449.97</v>
      </c>
      <c r="N243">
        <f t="shared" si="9"/>
        <v>2025</v>
      </c>
      <c r="O243">
        <f t="shared" si="10"/>
        <v>3</v>
      </c>
      <c r="P243" t="str">
        <f t="shared" si="11"/>
        <v>2025-03</v>
      </c>
    </row>
    <row r="244" spans="1:16" ht="15.75" customHeight="1" x14ac:dyDescent="0.3">
      <c r="A244" s="5">
        <v>45746</v>
      </c>
      <c r="B244" s="4" t="s">
        <v>56</v>
      </c>
      <c r="C244" s="4" t="s">
        <v>57</v>
      </c>
      <c r="D244" s="4" t="s">
        <v>90</v>
      </c>
      <c r="E244" s="4" t="s">
        <v>91</v>
      </c>
      <c r="F244" s="4" t="s">
        <v>19</v>
      </c>
      <c r="G244" s="4">
        <v>2</v>
      </c>
      <c r="H244" s="4">
        <v>89.99</v>
      </c>
      <c r="I244" s="4" t="s">
        <v>50</v>
      </c>
      <c r="J244" s="4" t="s">
        <v>45</v>
      </c>
      <c r="K244" s="4" t="s">
        <v>26</v>
      </c>
      <c r="L244" s="5">
        <v>44522</v>
      </c>
      <c r="M244" s="4">
        <v>179.98</v>
      </c>
      <c r="N244">
        <f t="shared" si="9"/>
        <v>2025</v>
      </c>
      <c r="O244">
        <f t="shared" si="10"/>
        <v>3</v>
      </c>
      <c r="P244" t="str">
        <f t="shared" si="11"/>
        <v>2025-03</v>
      </c>
    </row>
    <row r="245" spans="1:16" ht="15.75" customHeight="1" x14ac:dyDescent="0.3">
      <c r="A245" s="5">
        <v>45748</v>
      </c>
      <c r="B245" s="4" t="s">
        <v>80</v>
      </c>
      <c r="C245" s="4" t="s">
        <v>81</v>
      </c>
      <c r="D245" s="4" t="s">
        <v>66</v>
      </c>
      <c r="E245" s="4" t="s">
        <v>67</v>
      </c>
      <c r="F245" s="4" t="s">
        <v>19</v>
      </c>
      <c r="G245" s="4">
        <v>2</v>
      </c>
      <c r="H245" s="4">
        <v>699.99</v>
      </c>
      <c r="I245" s="4" t="s">
        <v>32</v>
      </c>
      <c r="J245" s="4" t="s">
        <v>37</v>
      </c>
      <c r="K245" s="4" t="s">
        <v>34</v>
      </c>
      <c r="L245" s="5">
        <v>44618</v>
      </c>
      <c r="M245" s="4">
        <v>1399.98</v>
      </c>
      <c r="N245">
        <f t="shared" si="9"/>
        <v>2025</v>
      </c>
      <c r="O245">
        <f t="shared" si="10"/>
        <v>4</v>
      </c>
      <c r="P245" t="str">
        <f t="shared" si="11"/>
        <v>2025-04</v>
      </c>
    </row>
    <row r="246" spans="1:16" ht="15.75" customHeight="1" x14ac:dyDescent="0.3">
      <c r="A246" s="5">
        <v>45749</v>
      </c>
      <c r="B246" s="4" t="s">
        <v>94</v>
      </c>
      <c r="C246" s="4" t="s">
        <v>95</v>
      </c>
      <c r="D246" s="4" t="s">
        <v>53</v>
      </c>
      <c r="E246" s="4" t="s">
        <v>54</v>
      </c>
      <c r="F246" s="4" t="s">
        <v>19</v>
      </c>
      <c r="G246" s="4">
        <v>3</v>
      </c>
      <c r="H246" s="4">
        <v>899.99</v>
      </c>
      <c r="I246" s="4" t="s">
        <v>20</v>
      </c>
      <c r="J246" s="4" t="s">
        <v>21</v>
      </c>
      <c r="K246" s="4" t="s">
        <v>34</v>
      </c>
      <c r="L246" s="5">
        <v>44953</v>
      </c>
      <c r="M246" s="4">
        <v>2699.97</v>
      </c>
      <c r="N246">
        <f t="shared" si="9"/>
        <v>2025</v>
      </c>
      <c r="O246">
        <f t="shared" si="10"/>
        <v>4</v>
      </c>
      <c r="P246" t="str">
        <f t="shared" si="11"/>
        <v>2025-04</v>
      </c>
    </row>
    <row r="247" spans="1:16" ht="15.75" customHeight="1" x14ac:dyDescent="0.3">
      <c r="A247" s="5">
        <v>45755</v>
      </c>
      <c r="B247" s="4" t="s">
        <v>74</v>
      </c>
      <c r="C247" s="4" t="s">
        <v>75</v>
      </c>
      <c r="D247" s="4" t="s">
        <v>88</v>
      </c>
      <c r="E247" s="4" t="s">
        <v>89</v>
      </c>
      <c r="F247" s="4" t="s">
        <v>31</v>
      </c>
      <c r="G247" s="4">
        <v>3</v>
      </c>
      <c r="H247" s="4">
        <v>79.989999999999995</v>
      </c>
      <c r="I247" s="4" t="s">
        <v>25</v>
      </c>
      <c r="J247" s="4" t="s">
        <v>37</v>
      </c>
      <c r="K247" s="4" t="s">
        <v>22</v>
      </c>
      <c r="L247" s="5">
        <v>44511</v>
      </c>
      <c r="M247" s="4">
        <v>239.97</v>
      </c>
      <c r="N247">
        <f t="shared" si="9"/>
        <v>2025</v>
      </c>
      <c r="O247">
        <f t="shared" si="10"/>
        <v>4</v>
      </c>
      <c r="P247" t="str">
        <f t="shared" si="11"/>
        <v>2025-04</v>
      </c>
    </row>
    <row r="248" spans="1:16" ht="15.75" customHeight="1" x14ac:dyDescent="0.3">
      <c r="A248" s="5">
        <v>45756</v>
      </c>
      <c r="B248" s="4" t="s">
        <v>51</v>
      </c>
      <c r="C248" s="4" t="s">
        <v>52</v>
      </c>
      <c r="D248" s="4" t="s">
        <v>90</v>
      </c>
      <c r="E248" s="4" t="s">
        <v>91</v>
      </c>
      <c r="F248" s="4" t="s">
        <v>19</v>
      </c>
      <c r="G248" s="4">
        <v>1</v>
      </c>
      <c r="H248" s="4">
        <v>89.99</v>
      </c>
      <c r="I248" s="4" t="s">
        <v>50</v>
      </c>
      <c r="J248" s="4" t="s">
        <v>55</v>
      </c>
      <c r="K248" s="4" t="s">
        <v>22</v>
      </c>
      <c r="L248" s="5">
        <v>45346</v>
      </c>
      <c r="M248" s="4">
        <v>89.99</v>
      </c>
      <c r="N248">
        <f t="shared" si="9"/>
        <v>2025</v>
      </c>
      <c r="O248">
        <f t="shared" si="10"/>
        <v>4</v>
      </c>
      <c r="P248" t="str">
        <f t="shared" si="11"/>
        <v>2025-04</v>
      </c>
    </row>
    <row r="249" spans="1:16" ht="15.75" customHeight="1" x14ac:dyDescent="0.3">
      <c r="A249" s="5">
        <v>45758</v>
      </c>
      <c r="B249" s="4" t="s">
        <v>142</v>
      </c>
      <c r="C249" s="4" t="s">
        <v>143</v>
      </c>
      <c r="D249" s="4" t="s">
        <v>66</v>
      </c>
      <c r="E249" s="4" t="s">
        <v>67</v>
      </c>
      <c r="F249" s="4" t="s">
        <v>19</v>
      </c>
      <c r="G249" s="4">
        <v>3</v>
      </c>
      <c r="H249" s="4">
        <v>699.99</v>
      </c>
      <c r="I249" s="4" t="s">
        <v>32</v>
      </c>
      <c r="J249" s="4" t="s">
        <v>37</v>
      </c>
      <c r="K249" s="4" t="s">
        <v>22</v>
      </c>
      <c r="L249" s="5">
        <v>44909</v>
      </c>
      <c r="M249" s="4">
        <v>2099.9699999999998</v>
      </c>
      <c r="N249">
        <f t="shared" si="9"/>
        <v>2025</v>
      </c>
      <c r="O249">
        <f t="shared" si="10"/>
        <v>4</v>
      </c>
      <c r="P249" t="str">
        <f t="shared" si="11"/>
        <v>2025-04</v>
      </c>
    </row>
    <row r="250" spans="1:16" ht="15.75" customHeight="1" x14ac:dyDescent="0.3">
      <c r="A250" s="5">
        <v>45758</v>
      </c>
      <c r="B250" s="4" t="s">
        <v>130</v>
      </c>
      <c r="C250" s="4" t="s">
        <v>131</v>
      </c>
      <c r="D250" s="4" t="s">
        <v>90</v>
      </c>
      <c r="E250" s="4" t="s">
        <v>91</v>
      </c>
      <c r="F250" s="4" t="s">
        <v>19</v>
      </c>
      <c r="G250" s="4">
        <v>2</v>
      </c>
      <c r="H250" s="4">
        <v>89.99</v>
      </c>
      <c r="I250" s="4" t="s">
        <v>50</v>
      </c>
      <c r="J250" s="4" t="s">
        <v>55</v>
      </c>
      <c r="K250" s="4" t="s">
        <v>22</v>
      </c>
      <c r="L250" s="5">
        <v>45088</v>
      </c>
      <c r="M250" s="4">
        <v>179.98</v>
      </c>
      <c r="N250">
        <f t="shared" si="9"/>
        <v>2025</v>
      </c>
      <c r="O250">
        <f t="shared" si="10"/>
        <v>4</v>
      </c>
      <c r="P250" t="str">
        <f t="shared" si="11"/>
        <v>2025-04</v>
      </c>
    </row>
    <row r="251" spans="1:16" ht="15.75" customHeight="1" x14ac:dyDescent="0.3">
      <c r="A251" s="5">
        <v>45758</v>
      </c>
      <c r="B251" s="4" t="s">
        <v>102</v>
      </c>
      <c r="C251" s="4" t="s">
        <v>103</v>
      </c>
      <c r="D251" s="4" t="s">
        <v>90</v>
      </c>
      <c r="E251" s="4" t="s">
        <v>91</v>
      </c>
      <c r="F251" s="4" t="s">
        <v>19</v>
      </c>
      <c r="G251" s="4">
        <v>3</v>
      </c>
      <c r="H251" s="4">
        <v>89.99</v>
      </c>
      <c r="I251" s="4" t="s">
        <v>50</v>
      </c>
      <c r="J251" s="4" t="s">
        <v>37</v>
      </c>
      <c r="K251" s="4" t="s">
        <v>26</v>
      </c>
      <c r="L251" s="5">
        <v>44878</v>
      </c>
      <c r="M251" s="4">
        <v>269.97000000000003</v>
      </c>
      <c r="N251">
        <f t="shared" si="9"/>
        <v>2025</v>
      </c>
      <c r="O251">
        <f t="shared" si="10"/>
        <v>4</v>
      </c>
      <c r="P251" t="str">
        <f t="shared" si="11"/>
        <v>2025-04</v>
      </c>
    </row>
    <row r="252" spans="1:16" ht="15.75" customHeight="1" x14ac:dyDescent="0.3"/>
    <row r="253" spans="1:16" ht="15.75" customHeight="1" x14ac:dyDescent="0.3"/>
    <row r="254" spans="1:16" ht="15.75" customHeight="1" x14ac:dyDescent="0.3"/>
    <row r="255" spans="1:16" ht="15.75" customHeight="1" x14ac:dyDescent="0.3"/>
    <row r="256" spans="1:1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6D68-8085-42D0-A947-C455320AB20B}">
  <dimension ref="A1:B7"/>
  <sheetViews>
    <sheetView workbookViewId="0">
      <selection activeCell="D29" sqref="D29"/>
    </sheetView>
  </sheetViews>
  <sheetFormatPr defaultRowHeight="14.4" x14ac:dyDescent="0.3"/>
  <cols>
    <col min="1" max="1" width="12.5546875" bestFit="1" customWidth="1"/>
    <col min="2" max="2" width="23.21875" bestFit="1" customWidth="1"/>
  </cols>
  <sheetData>
    <row r="1" spans="1:2" x14ac:dyDescent="0.3">
      <c r="A1" s="6" t="s">
        <v>153</v>
      </c>
      <c r="B1" t="s">
        <v>170</v>
      </c>
    </row>
    <row r="2" spans="1:2" x14ac:dyDescent="0.3">
      <c r="A2" s="7" t="s">
        <v>21</v>
      </c>
      <c r="B2" s="10">
        <v>54</v>
      </c>
    </row>
    <row r="3" spans="1:2" x14ac:dyDescent="0.3">
      <c r="A3" s="7" t="s">
        <v>55</v>
      </c>
      <c r="B3" s="10">
        <v>48</v>
      </c>
    </row>
    <row r="4" spans="1:2" x14ac:dyDescent="0.3">
      <c r="A4" s="7" t="s">
        <v>37</v>
      </c>
      <c r="B4" s="10">
        <v>59</v>
      </c>
    </row>
    <row r="5" spans="1:2" x14ac:dyDescent="0.3">
      <c r="A5" s="7" t="s">
        <v>33</v>
      </c>
      <c r="B5" s="10">
        <v>42</v>
      </c>
    </row>
    <row r="6" spans="1:2" x14ac:dyDescent="0.3">
      <c r="A6" s="7" t="s">
        <v>45</v>
      </c>
      <c r="B6" s="10">
        <v>47</v>
      </c>
    </row>
    <row r="7" spans="1:2" x14ac:dyDescent="0.3">
      <c r="A7" s="7" t="s">
        <v>154</v>
      </c>
      <c r="B7" s="10">
        <v>250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83C6F-9EDD-4631-9951-E07EED432999}">
  <dimension ref="A3:B17"/>
  <sheetViews>
    <sheetView topLeftCell="A3" zoomScale="77" workbookViewId="0">
      <selection activeCell="R28" sqref="R28"/>
    </sheetView>
  </sheetViews>
  <sheetFormatPr defaultRowHeight="14.4" x14ac:dyDescent="0.3"/>
  <cols>
    <col min="1" max="1" width="12.5546875" bestFit="1" customWidth="1"/>
    <col min="2" max="2" width="19.77734375" bestFit="1" customWidth="1"/>
  </cols>
  <sheetData>
    <row r="3" spans="1:2" x14ac:dyDescent="0.3">
      <c r="A3" s="6" t="s">
        <v>153</v>
      </c>
      <c r="B3" t="s">
        <v>168</v>
      </c>
    </row>
    <row r="4" spans="1:2" x14ac:dyDescent="0.3">
      <c r="A4" s="7" t="s">
        <v>155</v>
      </c>
      <c r="B4" s="10">
        <v>20919.330000000002</v>
      </c>
    </row>
    <row r="5" spans="1:2" x14ac:dyDescent="0.3">
      <c r="A5" s="7" t="s">
        <v>156</v>
      </c>
      <c r="B5" s="10">
        <v>17039.349999999999</v>
      </c>
    </row>
    <row r="6" spans="1:2" x14ac:dyDescent="0.3">
      <c r="A6" s="7" t="s">
        <v>157</v>
      </c>
      <c r="B6" s="10">
        <v>19299.45</v>
      </c>
    </row>
    <row r="7" spans="1:2" x14ac:dyDescent="0.3">
      <c r="A7" s="7" t="s">
        <v>158</v>
      </c>
      <c r="B7" s="10">
        <v>18479.400000000001</v>
      </c>
    </row>
    <row r="8" spans="1:2" x14ac:dyDescent="0.3">
      <c r="A8" s="7" t="s">
        <v>159</v>
      </c>
      <c r="B8" s="10">
        <v>15759.43</v>
      </c>
    </row>
    <row r="9" spans="1:2" x14ac:dyDescent="0.3">
      <c r="A9" s="7" t="s">
        <v>160</v>
      </c>
      <c r="B9" s="10">
        <v>12989.51</v>
      </c>
    </row>
    <row r="10" spans="1:2" x14ac:dyDescent="0.3">
      <c r="A10" s="7" t="s">
        <v>161</v>
      </c>
      <c r="B10" s="10">
        <v>20609.52</v>
      </c>
    </row>
    <row r="11" spans="1:2" x14ac:dyDescent="0.3">
      <c r="A11" s="7" t="s">
        <v>162</v>
      </c>
      <c r="B11" s="10">
        <v>12309.44</v>
      </c>
    </row>
    <row r="12" spans="1:2" x14ac:dyDescent="0.3">
      <c r="A12" s="7" t="s">
        <v>163</v>
      </c>
      <c r="B12" s="10">
        <v>23039.3</v>
      </c>
    </row>
    <row r="13" spans="1:2" x14ac:dyDescent="0.3">
      <c r="A13" s="7" t="s">
        <v>164</v>
      </c>
      <c r="B13" s="10">
        <v>25799.15</v>
      </c>
    </row>
    <row r="14" spans="1:2" x14ac:dyDescent="0.3">
      <c r="A14" s="7" t="s">
        <v>165</v>
      </c>
      <c r="B14" s="10">
        <v>16069.38</v>
      </c>
    </row>
    <row r="15" spans="1:2" x14ac:dyDescent="0.3">
      <c r="A15" s="7" t="s">
        <v>166</v>
      </c>
      <c r="B15" s="10">
        <v>19899.38</v>
      </c>
    </row>
    <row r="16" spans="1:2" x14ac:dyDescent="0.3">
      <c r="A16" s="7" t="s">
        <v>167</v>
      </c>
      <c r="B16" s="10">
        <v>6979.83</v>
      </c>
    </row>
    <row r="17" spans="1:2" x14ac:dyDescent="0.3">
      <c r="A17" s="7" t="s">
        <v>154</v>
      </c>
      <c r="B17" s="10">
        <v>229192.47</v>
      </c>
    </row>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iconSet" priority="1" id="{F51C40D5-3C83-4D1D-B414-E8A65D272DFB}">
            <x14:iconSet iconSet="3Triangles">
              <x14:cfvo type="percent">
                <xm:f>0</xm:f>
              </x14:cfvo>
              <x14:cfvo type="percent">
                <xm:f>33</xm:f>
              </x14:cfvo>
              <x14:cfvo type="percent">
                <xm:f>67</xm:f>
              </x14:cfvo>
            </x14:iconSet>
          </x14:cfRule>
          <xm:sqref>B4:B16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2252-E36E-458E-8EAA-C638D25F5680}">
  <dimension ref="A1:B12"/>
  <sheetViews>
    <sheetView workbookViewId="0">
      <selection activeCell="P5" sqref="P5"/>
    </sheetView>
  </sheetViews>
  <sheetFormatPr defaultRowHeight="14.4" x14ac:dyDescent="0.3"/>
  <cols>
    <col min="1" max="1" width="15.77734375" bestFit="1" customWidth="1"/>
    <col min="2" max="2" width="19.77734375" bestFit="1" customWidth="1"/>
  </cols>
  <sheetData>
    <row r="1" spans="1:2" x14ac:dyDescent="0.3">
      <c r="A1" s="6" t="s">
        <v>169</v>
      </c>
      <c r="B1" t="s">
        <v>168</v>
      </c>
    </row>
    <row r="2" spans="1:2" x14ac:dyDescent="0.3">
      <c r="A2" s="7" t="s">
        <v>30</v>
      </c>
      <c r="B2" s="10">
        <v>5219.13</v>
      </c>
    </row>
    <row r="3" spans="1:2" x14ac:dyDescent="0.3">
      <c r="A3" s="7" t="s">
        <v>41</v>
      </c>
      <c r="B3" s="10">
        <v>15298.98</v>
      </c>
    </row>
    <row r="4" spans="1:2" x14ac:dyDescent="0.3">
      <c r="A4" s="7" t="s">
        <v>89</v>
      </c>
      <c r="B4" s="10">
        <v>3119.61</v>
      </c>
    </row>
    <row r="5" spans="1:2" x14ac:dyDescent="0.3">
      <c r="A5" s="7" t="s">
        <v>83</v>
      </c>
      <c r="B5" s="10">
        <v>23399.22</v>
      </c>
    </row>
    <row r="6" spans="1:2" x14ac:dyDescent="0.3">
      <c r="A6" s="7" t="s">
        <v>47</v>
      </c>
      <c r="B6" s="10">
        <v>7049.53</v>
      </c>
    </row>
    <row r="7" spans="1:2" x14ac:dyDescent="0.3">
      <c r="A7" s="7" t="s">
        <v>91</v>
      </c>
      <c r="B7" s="10">
        <v>8009.11</v>
      </c>
    </row>
    <row r="8" spans="1:2" x14ac:dyDescent="0.3">
      <c r="A8" s="7" t="s">
        <v>54</v>
      </c>
      <c r="B8" s="10">
        <v>67499.25</v>
      </c>
    </row>
    <row r="9" spans="1:2" x14ac:dyDescent="0.3">
      <c r="A9" s="7" t="s">
        <v>18</v>
      </c>
      <c r="B9" s="10">
        <v>21999.119999999999</v>
      </c>
    </row>
    <row r="10" spans="1:2" x14ac:dyDescent="0.3">
      <c r="A10" s="7" t="s">
        <v>97</v>
      </c>
      <c r="B10" s="10">
        <v>10399.48</v>
      </c>
    </row>
    <row r="11" spans="1:2" x14ac:dyDescent="0.3">
      <c r="A11" s="7" t="s">
        <v>67</v>
      </c>
      <c r="B11" s="10">
        <v>67199.039999999994</v>
      </c>
    </row>
    <row r="12" spans="1:2" x14ac:dyDescent="0.3">
      <c r="A12" s="7" t="s">
        <v>154</v>
      </c>
      <c r="B12" s="10">
        <v>229192.47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253FC-D3D0-4137-8E49-83F8633738EF}">
  <dimension ref="A1:B12"/>
  <sheetViews>
    <sheetView workbookViewId="0">
      <selection activeCell="B5" sqref="B5"/>
    </sheetView>
  </sheetViews>
  <sheetFormatPr defaultRowHeight="14.4" x14ac:dyDescent="0.3"/>
  <cols>
    <col min="1" max="1" width="12.5546875" bestFit="1" customWidth="1"/>
    <col min="2" max="2" width="14.88671875" bestFit="1" customWidth="1"/>
  </cols>
  <sheetData>
    <row r="1" spans="1:2" x14ac:dyDescent="0.3">
      <c r="A1" s="6" t="s">
        <v>153</v>
      </c>
      <c r="B1" t="s">
        <v>171</v>
      </c>
    </row>
    <row r="2" spans="1:2" x14ac:dyDescent="0.3">
      <c r="A2" s="7" t="s">
        <v>30</v>
      </c>
      <c r="B2" s="10">
        <v>87</v>
      </c>
    </row>
    <row r="3" spans="1:2" x14ac:dyDescent="0.3">
      <c r="A3" s="7" t="s">
        <v>41</v>
      </c>
      <c r="B3" s="10">
        <v>102</v>
      </c>
    </row>
    <row r="4" spans="1:2" x14ac:dyDescent="0.3">
      <c r="A4" s="7" t="s">
        <v>89</v>
      </c>
      <c r="B4" s="10">
        <v>39</v>
      </c>
    </row>
    <row r="5" spans="1:2" x14ac:dyDescent="0.3">
      <c r="A5" s="7" t="s">
        <v>83</v>
      </c>
      <c r="B5" s="10">
        <v>78</v>
      </c>
    </row>
    <row r="6" spans="1:2" x14ac:dyDescent="0.3">
      <c r="A6" s="7" t="s">
        <v>47</v>
      </c>
      <c r="B6" s="10">
        <v>47</v>
      </c>
    </row>
    <row r="7" spans="1:2" x14ac:dyDescent="0.3">
      <c r="A7" s="7" t="s">
        <v>91</v>
      </c>
      <c r="B7" s="10">
        <v>89</v>
      </c>
    </row>
    <row r="8" spans="1:2" x14ac:dyDescent="0.3">
      <c r="A8" s="7" t="s">
        <v>54</v>
      </c>
      <c r="B8" s="10">
        <v>75</v>
      </c>
    </row>
    <row r="9" spans="1:2" x14ac:dyDescent="0.3">
      <c r="A9" s="7" t="s">
        <v>18</v>
      </c>
      <c r="B9" s="10">
        <v>88</v>
      </c>
    </row>
    <row r="10" spans="1:2" x14ac:dyDescent="0.3">
      <c r="A10" s="7" t="s">
        <v>97</v>
      </c>
      <c r="B10" s="10">
        <v>52</v>
      </c>
    </row>
    <row r="11" spans="1:2" x14ac:dyDescent="0.3">
      <c r="A11" s="7" t="s">
        <v>67</v>
      </c>
      <c r="B11" s="10">
        <v>96</v>
      </c>
    </row>
    <row r="12" spans="1:2" x14ac:dyDescent="0.3">
      <c r="A12" s="7" t="s">
        <v>154</v>
      </c>
      <c r="B12" s="10">
        <v>753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6B0B-D412-427B-86E4-E9CCA3E114C8}">
  <dimension ref="A1:B52"/>
  <sheetViews>
    <sheetView workbookViewId="0">
      <selection activeCell="G40" sqref="G40"/>
    </sheetView>
  </sheetViews>
  <sheetFormatPr defaultRowHeight="14.4" x14ac:dyDescent="0.3"/>
  <cols>
    <col min="1" max="1" width="17" bestFit="1" customWidth="1"/>
    <col min="2" max="2" width="19.77734375" bestFit="1" customWidth="1"/>
  </cols>
  <sheetData>
    <row r="1" spans="1:2" x14ac:dyDescent="0.3">
      <c r="A1" s="6" t="s">
        <v>172</v>
      </c>
      <c r="B1" t="s">
        <v>168</v>
      </c>
    </row>
    <row r="2" spans="1:2" x14ac:dyDescent="0.3">
      <c r="A2" s="7" t="s">
        <v>147</v>
      </c>
      <c r="B2" s="10">
        <v>1559.94</v>
      </c>
    </row>
    <row r="3" spans="1:2" x14ac:dyDescent="0.3">
      <c r="A3" s="7" t="s">
        <v>77</v>
      </c>
      <c r="B3" s="10">
        <v>10649.8</v>
      </c>
    </row>
    <row r="4" spans="1:2" x14ac:dyDescent="0.3">
      <c r="A4" s="7" t="s">
        <v>115</v>
      </c>
      <c r="B4" s="10">
        <v>5649.84</v>
      </c>
    </row>
    <row r="5" spans="1:2" x14ac:dyDescent="0.3">
      <c r="A5" s="7" t="s">
        <v>133</v>
      </c>
      <c r="B5" s="10">
        <v>1149.93</v>
      </c>
    </row>
    <row r="6" spans="1:2" x14ac:dyDescent="0.3">
      <c r="A6" s="7" t="s">
        <v>49</v>
      </c>
      <c r="B6" s="10">
        <v>5089.7299999999996</v>
      </c>
    </row>
    <row r="7" spans="1:2" x14ac:dyDescent="0.3">
      <c r="A7" s="7" t="s">
        <v>81</v>
      </c>
      <c r="B7" s="10">
        <v>3769.83</v>
      </c>
    </row>
    <row r="8" spans="1:2" x14ac:dyDescent="0.3">
      <c r="A8" s="7" t="s">
        <v>109</v>
      </c>
      <c r="B8" s="10">
        <v>7309.8</v>
      </c>
    </row>
    <row r="9" spans="1:2" x14ac:dyDescent="0.3">
      <c r="A9" s="7" t="s">
        <v>121</v>
      </c>
      <c r="B9" s="10">
        <v>1809.84</v>
      </c>
    </row>
    <row r="10" spans="1:2" x14ac:dyDescent="0.3">
      <c r="A10" s="7" t="s">
        <v>63</v>
      </c>
      <c r="B10" s="10">
        <v>479.92</v>
      </c>
    </row>
    <row r="11" spans="1:2" x14ac:dyDescent="0.3">
      <c r="A11" s="7" t="s">
        <v>44</v>
      </c>
      <c r="B11" s="10">
        <v>8269.7900000000009</v>
      </c>
    </row>
    <row r="12" spans="1:2" x14ac:dyDescent="0.3">
      <c r="A12" s="7" t="s">
        <v>143</v>
      </c>
      <c r="B12" s="10">
        <v>4829.8900000000003</v>
      </c>
    </row>
    <row r="13" spans="1:2" x14ac:dyDescent="0.3">
      <c r="A13" s="7" t="s">
        <v>95</v>
      </c>
      <c r="B13" s="10">
        <v>11919.77</v>
      </c>
    </row>
    <row r="14" spans="1:2" x14ac:dyDescent="0.3">
      <c r="A14" s="7" t="s">
        <v>129</v>
      </c>
      <c r="B14" s="10">
        <v>3649.86</v>
      </c>
    </row>
    <row r="15" spans="1:2" x14ac:dyDescent="0.3">
      <c r="A15" s="7" t="s">
        <v>101</v>
      </c>
      <c r="B15" s="10">
        <v>1229.8800000000001</v>
      </c>
    </row>
    <row r="16" spans="1:2" x14ac:dyDescent="0.3">
      <c r="A16" s="7" t="s">
        <v>125</v>
      </c>
      <c r="B16" s="10">
        <v>1479.91</v>
      </c>
    </row>
    <row r="17" spans="1:2" x14ac:dyDescent="0.3">
      <c r="A17" s="7" t="s">
        <v>69</v>
      </c>
      <c r="B17" s="10">
        <v>3779.93</v>
      </c>
    </row>
    <row r="18" spans="1:2" x14ac:dyDescent="0.3">
      <c r="A18" s="7" t="s">
        <v>127</v>
      </c>
      <c r="B18" s="10">
        <v>6379.87</v>
      </c>
    </row>
    <row r="19" spans="1:2" x14ac:dyDescent="0.3">
      <c r="A19" s="7" t="s">
        <v>107</v>
      </c>
      <c r="B19" s="10">
        <v>5519.89</v>
      </c>
    </row>
    <row r="20" spans="1:2" x14ac:dyDescent="0.3">
      <c r="A20" s="7" t="s">
        <v>93</v>
      </c>
      <c r="B20" s="10">
        <v>6459.79</v>
      </c>
    </row>
    <row r="21" spans="1:2" x14ac:dyDescent="0.3">
      <c r="A21" s="7" t="s">
        <v>145</v>
      </c>
      <c r="B21" s="10">
        <v>179.97</v>
      </c>
    </row>
    <row r="22" spans="1:2" x14ac:dyDescent="0.3">
      <c r="A22" s="7" t="s">
        <v>105</v>
      </c>
      <c r="B22" s="10">
        <v>4739.8500000000004</v>
      </c>
    </row>
    <row r="23" spans="1:2" x14ac:dyDescent="0.3">
      <c r="A23" s="7" t="s">
        <v>149</v>
      </c>
      <c r="B23" s="10">
        <v>599.96</v>
      </c>
    </row>
    <row r="24" spans="1:2" x14ac:dyDescent="0.3">
      <c r="A24" s="7" t="s">
        <v>24</v>
      </c>
      <c r="B24" s="10">
        <v>6949.84</v>
      </c>
    </row>
    <row r="25" spans="1:2" x14ac:dyDescent="0.3">
      <c r="A25" s="7" t="s">
        <v>117</v>
      </c>
      <c r="B25" s="10">
        <v>239.96</v>
      </c>
    </row>
    <row r="26" spans="1:2" x14ac:dyDescent="0.3">
      <c r="A26" s="7" t="s">
        <v>57</v>
      </c>
      <c r="B26" s="10">
        <v>8009.77</v>
      </c>
    </row>
    <row r="27" spans="1:2" x14ac:dyDescent="0.3">
      <c r="A27" s="7" t="s">
        <v>36</v>
      </c>
      <c r="B27" s="10">
        <v>4309.8100000000004</v>
      </c>
    </row>
    <row r="28" spans="1:2" x14ac:dyDescent="0.3">
      <c r="A28" s="7" t="s">
        <v>28</v>
      </c>
      <c r="B28" s="10">
        <v>3259.87</v>
      </c>
    </row>
    <row r="29" spans="1:2" x14ac:dyDescent="0.3">
      <c r="A29" s="7" t="s">
        <v>131</v>
      </c>
      <c r="B29" s="10">
        <v>6989.77</v>
      </c>
    </row>
    <row r="30" spans="1:2" x14ac:dyDescent="0.3">
      <c r="A30" s="7" t="s">
        <v>87</v>
      </c>
      <c r="B30" s="10">
        <v>1289.9000000000001</v>
      </c>
    </row>
    <row r="31" spans="1:2" x14ac:dyDescent="0.3">
      <c r="A31" s="7" t="s">
        <v>99</v>
      </c>
      <c r="B31" s="10">
        <v>2039.8</v>
      </c>
    </row>
    <row r="32" spans="1:2" x14ac:dyDescent="0.3">
      <c r="A32" s="7" t="s">
        <v>123</v>
      </c>
      <c r="B32" s="10">
        <v>2099.88</v>
      </c>
    </row>
    <row r="33" spans="1:2" x14ac:dyDescent="0.3">
      <c r="A33" s="7" t="s">
        <v>73</v>
      </c>
      <c r="B33" s="10">
        <v>1909.93</v>
      </c>
    </row>
    <row r="34" spans="1:2" x14ac:dyDescent="0.3">
      <c r="A34" s="7" t="s">
        <v>71</v>
      </c>
      <c r="B34" s="10">
        <v>15659.65</v>
      </c>
    </row>
    <row r="35" spans="1:2" x14ac:dyDescent="0.3">
      <c r="A35" s="7" t="s">
        <v>39</v>
      </c>
      <c r="B35" s="10">
        <v>6169.74</v>
      </c>
    </row>
    <row r="36" spans="1:2" x14ac:dyDescent="0.3">
      <c r="A36" s="7" t="s">
        <v>65</v>
      </c>
      <c r="B36" s="10">
        <v>4199.9399999999996</v>
      </c>
    </row>
    <row r="37" spans="1:2" x14ac:dyDescent="0.3">
      <c r="A37" s="7" t="s">
        <v>85</v>
      </c>
      <c r="B37" s="10">
        <v>4189.7700000000004</v>
      </c>
    </row>
    <row r="38" spans="1:2" x14ac:dyDescent="0.3">
      <c r="A38" s="7" t="s">
        <v>79</v>
      </c>
      <c r="B38" s="10">
        <v>9799.73</v>
      </c>
    </row>
    <row r="39" spans="1:2" x14ac:dyDescent="0.3">
      <c r="A39" s="7" t="s">
        <v>16</v>
      </c>
      <c r="B39" s="10">
        <v>8309.74</v>
      </c>
    </row>
    <row r="40" spans="1:2" x14ac:dyDescent="0.3">
      <c r="A40" s="7" t="s">
        <v>61</v>
      </c>
      <c r="B40" s="10">
        <v>5949.85</v>
      </c>
    </row>
    <row r="41" spans="1:2" x14ac:dyDescent="0.3">
      <c r="A41" s="7" t="s">
        <v>119</v>
      </c>
      <c r="B41" s="10">
        <v>3669.85</v>
      </c>
    </row>
    <row r="42" spans="1:2" x14ac:dyDescent="0.3">
      <c r="A42" s="7" t="s">
        <v>141</v>
      </c>
      <c r="B42" s="10">
        <v>739.93</v>
      </c>
    </row>
    <row r="43" spans="1:2" x14ac:dyDescent="0.3">
      <c r="A43" s="7" t="s">
        <v>52</v>
      </c>
      <c r="B43" s="10">
        <v>3509.9</v>
      </c>
    </row>
    <row r="44" spans="1:2" x14ac:dyDescent="0.3">
      <c r="A44" s="7" t="s">
        <v>137</v>
      </c>
      <c r="B44" s="10">
        <v>1749.92</v>
      </c>
    </row>
    <row r="45" spans="1:2" x14ac:dyDescent="0.3">
      <c r="A45" s="7" t="s">
        <v>135</v>
      </c>
      <c r="B45" s="10">
        <v>6349.83</v>
      </c>
    </row>
    <row r="46" spans="1:2" x14ac:dyDescent="0.3">
      <c r="A46" s="7" t="s">
        <v>113</v>
      </c>
      <c r="B46" s="10">
        <v>5499.81</v>
      </c>
    </row>
    <row r="47" spans="1:2" x14ac:dyDescent="0.3">
      <c r="A47" s="7" t="s">
        <v>111</v>
      </c>
      <c r="B47" s="10">
        <v>5619.87</v>
      </c>
    </row>
    <row r="48" spans="1:2" x14ac:dyDescent="0.3">
      <c r="A48" s="7" t="s">
        <v>103</v>
      </c>
      <c r="B48" s="10">
        <v>2649.83</v>
      </c>
    </row>
    <row r="49" spans="1:2" x14ac:dyDescent="0.3">
      <c r="A49" s="7" t="s">
        <v>59</v>
      </c>
      <c r="B49" s="10">
        <v>1979.89</v>
      </c>
    </row>
    <row r="50" spans="1:2" x14ac:dyDescent="0.3">
      <c r="A50" s="7" t="s">
        <v>75</v>
      </c>
      <c r="B50" s="10">
        <v>4789.79</v>
      </c>
    </row>
    <row r="51" spans="1:2" x14ac:dyDescent="0.3">
      <c r="A51" s="7" t="s">
        <v>139</v>
      </c>
      <c r="B51" s="10">
        <v>4749.91</v>
      </c>
    </row>
    <row r="52" spans="1:2" x14ac:dyDescent="0.3">
      <c r="A52" s="7" t="s">
        <v>154</v>
      </c>
      <c r="B52" s="10">
        <v>229192.47</v>
      </c>
    </row>
  </sheetData>
  <conditionalFormatting pivot="1" sqref="B2:B51">
    <cfRule type="top10" dxfId="0" priority="1" rank="5"/>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Project Instructions</vt:lpstr>
      <vt:lpstr>dashboard</vt:lpstr>
      <vt:lpstr>Final Project Dataset</vt:lpstr>
      <vt:lpstr>customer </vt:lpstr>
      <vt:lpstr>month sales</vt:lpstr>
      <vt:lpstr>product sales</vt:lpstr>
      <vt:lpstr>product and quantity</vt:lpstr>
      <vt:lpstr>top 10</vt:lpstr>
      <vt:lpstr>tanish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Medhat Abhiraj</cp:lastModifiedBy>
  <dcterms:modified xsi:type="dcterms:W3CDTF">2025-11-11T12:13:36Z</dcterms:modified>
</cp:coreProperties>
</file>