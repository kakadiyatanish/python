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custom-properties+xml" PartName="/docProps/custom.xml"/>
  <Override ContentType="application/vnd.openxmlformats-officedocument.spreadsheetml.table+xml" PartName="/xl/tables/table1.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Instructions" sheetId="1" r:id="rId4"/>
    <sheet state="visible" name="Dataset" sheetId="2" r:id="rId5"/>
    <sheet state="visible" name="dashboard" sheetId="3" r:id="rId6"/>
    <sheet state="visible" name="Region" sheetId="4" r:id="rId7"/>
    <sheet state="visible" name="Product" sheetId="5" r:id="rId8"/>
    <sheet state="visible" name="region vs product" sheetId="6" r:id="rId9"/>
    <sheet state="visible" name="Conditional formatting" sheetId="7" r:id="rId10"/>
    <sheet state="visible" name="month sales" sheetId="8" r:id="rId11"/>
  </sheets>
  <definedNames>
    <definedName name="dataset">Dataset!$A$1:$I$201</definedName>
    <definedName name="Slicer_Customer_Name">#REF!</definedName>
  </definedNames>
  <calcPr/>
  <pivotCaches>
    <pivotCache cacheId="0" r:id="rId12"/>
  </pivotCaches>
  <extLst>
    <ext uri="GoogleSheetsCustomDataVersion2">
      <go:sheetsCustomData xmlns:go="http://customooxmlschemas.google.com/" r:id="rId13" roundtripDataChecksum="UQC2EBAi2pJF8VthZSG3SPAxrCdtpGA3VzA9fpzTk2U="/>
    </ext>
  </extLst>
</workbook>
</file>

<file path=xl/sharedStrings.xml><?xml version="1.0" encoding="utf-8"?>
<sst xmlns="http://schemas.openxmlformats.org/spreadsheetml/2006/main" count="870" uniqueCount="85">
  <si>
    <t>PR. 2 Analyzer</t>
  </si>
  <si>
    <r>
      <rPr>
        <rFont val="Calibri"/>
        <b/>
        <color theme="1"/>
        <sz val="11.0"/>
      </rPr>
      <t xml:space="preserve">Topics:
</t>
    </r>
    <r>
      <rPr>
        <rFont val="Calibri"/>
        <color theme="1"/>
        <sz val="11.0"/>
      </rPr>
      <t xml:space="preserve">- Conditional Formatting
 - WHAT IF Analysis
 - Linear Regression (Using Data Analysis Toolpak)
 - Data Analysis Feature (Descriptive Stats, Regression, Histogram)
 - Data Storytelling
 - Add Symbols or Arrows in Custom Formatting
 - Create Timestamp
 - Find High-Value Customers using Groupby(), index(), and match() combination
 - Advanced Descriptive Analytics
 - Pivot Table with Dashboard
 - Creating bar charts
 - Creating line charts
 - Creating pie charts
</t>
    </r>
    <r>
      <rPr>
        <rFont val="Calibri"/>
        <b/>
        <color rgb="FF38761D"/>
        <sz val="11.0"/>
      </rPr>
      <t>Main Tasks:</t>
    </r>
    <r>
      <rPr>
        <rFont val="Calibri"/>
        <color rgb="FF38761D"/>
        <sz val="11.0"/>
      </rPr>
      <t xml:space="preserve">
1. Apply conditional formatting to highlight top 10 customers based on total purchase.
2. Perform WHAT IF Analysis to see impact of changing discount on total profit.
3. Use Data Analysis Toolpak to run Linear Regression (Profit vs Sales).
4. Use 'Descriptive Statistics' from Analysis Toolpak on the dataset.
5. Add up/down arrows on monthly sales growth.
6. Create a timestamp column using NOW().
7. Identify high-value customers using index(), match(), and filters.
8. Create Pivot Table to analyze total sales by region and product.
9. Create bar, line, and pie charts to visualize KPIs.
10. Summarize insights using a dashboard.</t>
    </r>
    <r>
      <rPr>
        <rFont val="Calibri"/>
        <color theme="1"/>
        <sz val="11.0"/>
      </rPr>
      <t xml:space="preserve">
</t>
    </r>
    <r>
      <rPr>
        <rFont val="Calibri"/>
        <b/>
        <color theme="1"/>
        <sz val="11.0"/>
      </rPr>
      <t xml:space="preserve">Deliverable:
</t>
    </r>
    <r>
      <rPr>
        <rFont val="Calibri"/>
        <color theme="1"/>
        <sz val="11.0"/>
      </rPr>
      <t>Complete the given worksheet by applying the required formulas in respective sheets.</t>
    </r>
  </si>
  <si>
    <t>Customer_ID</t>
  </si>
  <si>
    <t>Customer_Name</t>
  </si>
  <si>
    <t>Region</t>
  </si>
  <si>
    <t>Product_Category</t>
  </si>
  <si>
    <t xml:space="preserve"> Sales </t>
  </si>
  <si>
    <t>Quantity</t>
  </si>
  <si>
    <t>Discount</t>
  </si>
  <si>
    <t>Order_Date</t>
  </si>
  <si>
    <t xml:space="preserve"> Profit </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</si>
  <si>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</si>
  <si>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</si>
  <si>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</si>
  <si>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</si>
  <si>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</si>
  <si>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</si>
  <si>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</si>
  <si>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</si>
  <si>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</si>
  <si>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</si>
  <si>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</si>
  <si>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</si>
  <si>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</si>
  <si>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</si>
  <si>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</si>
  <si>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</si>
  <si>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</si>
  <si>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</si>
  <si>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</si>
  <si>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</si>
  <si>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</si>
  <si>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</si>
  <si>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</si>
  <si>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</si>
  <si>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</si>
  <si>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</si>
  <si>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</si>
  <si>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</si>
  <si>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</si>
  <si>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</si>
  <si>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</si>
  <si>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</si>
  <si>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</si>
  <si>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</si>
  <si>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</si>
  <si>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</si>
  <si>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</si>
  <si>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</si>
  <si>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</si>
  <si>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</si>
  <si>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</si>
  <si>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</si>
  <si>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</si>
  <si>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</si>
  <si>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</si>
  <si>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</si>
  <si>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</si>
  <si>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</si>
  <si>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</si>
  <si>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</si>
  <si>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</si>
  <si>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</si>
  <si>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</si>
  <si>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</si>
  <si>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</si>
  <si>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</si>
  <si>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</si>
  <si>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</si>
  <si>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</si>
  <si>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</si>
  <si>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</si>
  <si>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</si>
  <si>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</si>
  <si>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</si>
  <si>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</si>
  <si>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</si>
  <si>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</si>
  <si>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 xml:space="preserve">Sum of  Sales </t>
  </si>
  <si>
    <t>Grand Total</t>
  </si>
  <si>
    <t>Total Sales</t>
  </si>
  <si>
    <t>total</t>
  </si>
  <si>
    <t>Columns</t>
  </si>
  <si>
    <t>Rows</t>
  </si>
  <si>
    <t>Values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</si>
</sst>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_ [$₹-4009]* #,##0.0_ ;_ [$₹-4009]* \-#,##0.0_ ;_ [$₹-4009]* &quot;-&quot;?_ ;_ @_ "/>
    <numFmt numFmtId="165" formatCode="_ [$₹-4009]* #,##0.0_ ;_ [$₹-4009]* \-#,##0.0_ ;_ [$₹-4009]* &quot;-&quot;??_ ;_ @_ "/>
    <numFmt numFmtId="166" formatCode="yyyy/mm/dd"/>
    <numFmt numFmtId="167" formatCode="&quot;₹&quot;#,##0"/>
  </numFmts>
  <fonts count="4">
    <font>
      <sz val="11.0"/>
      <color theme="1"/>
      <name val="Calibri"/>
      <scheme val="minor"/>
    </font>
    <font>
      <b/>
      <sz val="11.0"/>
      <color theme="1"/>
      <name val="Calibri"/>
    </font>
    <font>
      <sz val="11.0"/>
      <color theme="1"/>
      <name val="Calibri"/>
    </font>
    <font>
      <color theme="1"/>
      <name val="Calibri"/>
      <scheme val="minor"/>
    </font>
  </fonts>
  <fills count="8">
    <fill>
      <patternFill patternType="none"/>
    </fill>
    <fill>
      <patternFill patternType="lightGray"/>
    </fill>
    <fill>
      <patternFill patternType="solid">
        <fgColor rgb="FFFFF2CC"/>
        <bgColor rgb="FFFFF2CC"/>
      </patternFill>
    </fill>
    <fill>
      <patternFill patternType="solid">
        <fgColor rgb="FF000000"/>
        <bgColor rgb="FF000000"/>
      </patternFill>
    </fill>
    <fill>
      <patternFill patternType="solid">
        <fgColor rgb="FFDBE5F1"/>
        <bgColor rgb="FFDBE5F1"/>
      </patternFill>
    </fill>
    <fill>
      <patternFill patternType="solid">
        <fgColor rgb="FFC3D69B"/>
        <bgColor rgb="FFC3D69B"/>
      </patternFill>
    </fill>
    <fill>
      <patternFill patternType="solid">
        <fgColor theme="0"/>
        <bgColor theme="0"/>
      </patternFill>
    </fill>
    <fill>
      <patternFill patternType="solid">
        <fgColor rgb="FFFFFF00"/>
        <bgColor rgb="FFFFFF00"/>
      </patternFill>
    </fill>
  </fills>
  <borders count="4">
    <border/>
    <border>
      <left style="thin">
        <color rgb="FF000000"/>
      </left>
      <right style="thin">
        <color rgb="FF000000"/>
      </right>
      <top style="thin">
        <color rgb="FF000000"/>
      </top>
      <bottom style="thin">
        <color rgb="FF000000"/>
      </bottom>
    </border>
    <border>
      <left style="double">
        <color rgb="FF000000"/>
      </left>
      <right style="double">
        <color rgb="FF000000"/>
      </right>
      <top style="double">
        <color rgb="FF000000"/>
      </top>
      <bottom style="double">
        <color rgb="FF000000"/>
      </bottom>
    </border>
    <border>
      <left/>
      <right/>
      <top/>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horizontal="center"/>
    </xf>
    <xf borderId="0" fillId="0" fontId="2" numFmtId="0" xfId="0" applyFont="1"/>
    <xf borderId="1" fillId="0" fontId="2" numFmtId="0" xfId="0" applyBorder="1" applyFont="1"/>
    <xf borderId="2" fillId="3" fontId="1" numFmtId="0" xfId="0" applyAlignment="1" applyBorder="1" applyFill="1" applyFont="1">
      <alignment horizontal="center"/>
    </xf>
    <xf borderId="2" fillId="3" fontId="1" numFmtId="164" xfId="0" applyAlignment="1" applyBorder="1" applyFont="1" applyNumberFormat="1">
      <alignment horizontal="center"/>
    </xf>
    <xf borderId="2" fillId="3" fontId="1" numFmtId="165" xfId="0" applyAlignment="1" applyBorder="1" applyFont="1" applyNumberFormat="1">
      <alignment horizontal="center"/>
    </xf>
    <xf borderId="0" fillId="0" fontId="1" numFmtId="0" xfId="0" applyFont="1"/>
    <xf borderId="2" fillId="0" fontId="2" numFmtId="0" xfId="0" applyAlignment="1" applyBorder="1" applyFont="1">
      <alignment horizontal="center"/>
    </xf>
    <xf borderId="2" fillId="0" fontId="2" numFmtId="164" xfId="0" applyAlignment="1" applyBorder="1" applyFont="1" applyNumberFormat="1">
      <alignment horizontal="center"/>
    </xf>
    <xf borderId="2" fillId="0" fontId="2" numFmtId="166" xfId="0" applyAlignment="1" applyBorder="1" applyFont="1" applyNumberFormat="1">
      <alignment horizontal="center"/>
    </xf>
    <xf borderId="2" fillId="0" fontId="2" numFmtId="165" xfId="0" applyAlignment="1" applyBorder="1" applyFont="1" applyNumberFormat="1">
      <alignment horizontal="center"/>
    </xf>
    <xf borderId="0" fillId="0" fontId="2" numFmtId="167" xfId="0" applyFont="1" applyNumberFormat="1"/>
    <xf borderId="0" fillId="0" fontId="2" numFmtId="164" xfId="0" applyFont="1" applyNumberFormat="1"/>
    <xf borderId="0" fillId="0" fontId="2" numFmtId="165" xfId="0" applyFont="1" applyNumberFormat="1"/>
    <xf borderId="3" fillId="4" fontId="2" numFmtId="0" xfId="0" applyBorder="1" applyFill="1" applyFont="1"/>
    <xf borderId="0" fillId="0" fontId="3" numFmtId="0" xfId="0" applyFont="1"/>
    <xf borderId="2" fillId="5" fontId="2" numFmtId="0" xfId="0" applyAlignment="1" applyBorder="1" applyFill="1" applyFont="1">
      <alignment horizontal="center"/>
    </xf>
    <xf borderId="2" fillId="0" fontId="2" numFmtId="0" xfId="0" applyAlignment="1" applyBorder="1" applyFont="1">
      <alignment horizontal="center"/>
    </xf>
    <xf borderId="2" fillId="6" fontId="2" numFmtId="0" xfId="0" applyAlignment="1" applyBorder="1" applyFill="1" applyFont="1">
      <alignment horizontal="center"/>
    </xf>
    <xf borderId="3" fillId="6" fontId="2" numFmtId="0" xfId="0" applyBorder="1" applyFont="1"/>
    <xf borderId="3" fillId="7" fontId="1" numFmtId="0" xfId="0" applyBorder="1" applyFill="1" applyFont="1"/>
    <xf borderId="3" fillId="7" fontId="2" numFmtId="0" xfId="0" applyBorder="1" applyFont="1"/>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rgb="FFFFFFFF"/>
          <bgColor rgb="FFFFFFFF"/>
        </patternFill>
      </fill>
      <border/>
    </dxf>
  </dxfs>
  <tableStyles count="1">
    <tableStyle count="3" pivot="0" name="Dataset-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757575"/>
                </a:solidFill>
                <a:latin typeface="+mn-lt"/>
              </a:defRPr>
            </a:pPr>
            <a:r>
              <a:rPr b="1" i="0" sz="1400">
                <a:solidFill>
                  <a:srgbClr val="757575"/>
                </a:solidFill>
                <a:latin typeface="+mn-lt"/>
              </a:rPr>
              <a:t>Sales By Region</a:t>
            </a:r>
          </a:p>
        </c:rich>
      </c:tx>
      <c:overlay val="0"/>
    </c:title>
    <c:plotArea>
      <c:layout/>
      <c:barChart>
        <c:barDir val="bar"/>
        <c:ser>
          <c:idx val="0"/>
          <c:order val="0"/>
          <c:tx>
            <c:v>Total</c:v>
          </c:tx>
          <c:spPr>
            <a:solidFill>
              <a:schemeClr val="accent6"/>
            </a:solidFill>
            <a:ln cmpd="sng">
              <a:solidFill>
                <a:srgbClr val="000000"/>
              </a:solidFill>
            </a:ln>
          </c:spPr>
          <c:dLbls>
            <c:numFmt formatCode="General" sourceLinked="1"/>
            <c:txPr>
              <a:bodyPr/>
              <a:lstStyle/>
              <a:p>
                <a:pPr lvl="0">
                  <a:defRPr b="0" i="0" sz="1000">
                    <a:latin typeface="+mn-lt"/>
                  </a:defRPr>
                </a:pPr>
              </a:p>
            </c:txPr>
            <c:showLegendKey val="0"/>
            <c:showVal val="1"/>
            <c:showCatName val="0"/>
            <c:showSerName val="0"/>
            <c:showPercent val="0"/>
            <c:showBubbleSize val="0"/>
          </c:dLbls>
          <c:cat>
            <c:strRef>
              <c:f>Region!$A$4:$A$9</c:f>
            </c:strRef>
          </c:cat>
          <c:val>
            <c:numRef>
              <c:f>Region!$B$4:$B$9</c:f>
              <c:numCache/>
            </c:numRef>
          </c:val>
        </c:ser>
        <c:axId val="499762532"/>
        <c:axId val="854810862"/>
      </c:barChart>
      <c:catAx>
        <c:axId val="49976253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854810862"/>
      </c:catAx>
      <c:valAx>
        <c:axId val="854810862"/>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499762532"/>
        <c:crosses val="max"/>
      </c:valAx>
    </c:plotArea>
    <c:plotVisOnly val="1"/>
  </c:chart>
  <c:spPr>
    <a:solidFill>
      <a:schemeClr val="accent1"/>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757575"/>
                </a:solidFill>
                <a:latin typeface="+mn-lt"/>
              </a:defRPr>
            </a:pPr>
            <a:r>
              <a:rPr b="1" i="0" sz="1400">
                <a:solidFill>
                  <a:srgbClr val="757575"/>
                </a:solidFill>
                <a:latin typeface="+mn-lt"/>
              </a:rPr>
              <a:t>sales by product</a:t>
            </a:r>
          </a:p>
        </c:rich>
      </c:tx>
      <c:overlay val="0"/>
    </c:title>
    <c:plotArea>
      <c:layout/>
      <c:pieChart>
        <c:varyColors val="1"/>
        <c:ser>
          <c:idx val="0"/>
          <c:order val="0"/>
          <c:tx>
            <c:strRef>
              <c:f>Product!$B$3</c:f>
            </c:strRef>
          </c:tx>
          <c:dPt>
            <c:idx val="0"/>
            <c:spPr>
              <a:solidFill>
                <a:schemeClr val="accent6"/>
              </a:solidFill>
            </c:spPr>
          </c:dPt>
          <c:dPt>
            <c:idx val="1"/>
            <c:spPr>
              <a:solidFill>
                <a:schemeClr val="accent5"/>
              </a:solidFill>
            </c:spPr>
          </c:dPt>
          <c:dPt>
            <c:idx val="2"/>
            <c:spPr>
              <a:solidFill>
                <a:schemeClr val="accent4"/>
              </a:solidFill>
            </c:spPr>
          </c:dPt>
          <c:dPt>
            <c:idx val="3"/>
            <c:spPr>
              <a:solidFill>
                <a:schemeClr val="accent6"/>
              </a:solidFill>
            </c:spPr>
          </c:dPt>
          <c:dPt>
            <c:idx val="4"/>
            <c:spPr>
              <a:solidFill>
                <a:schemeClr val="accent5"/>
              </a:solidFill>
            </c:spPr>
          </c:dPt>
          <c:dPt>
            <c:idx val="5"/>
            <c:spPr>
              <a:solidFill>
                <a:srgbClr val="F79646"/>
              </a:solidFill>
            </c:spPr>
          </c:dPt>
          <c:dLbls>
            <c:showLegendKey val="0"/>
            <c:showVal val="0"/>
            <c:showCatName val="0"/>
            <c:showSerName val="0"/>
            <c:showPercent val="1"/>
            <c:showBubbleSize val="0"/>
            <c:showLeaderLines val="1"/>
          </c:dLbls>
          <c:cat>
            <c:strRef>
              <c:f>Product!$A$4:$A$9</c:f>
            </c:strRef>
          </c:cat>
          <c:val>
            <c:numRef>
              <c:f>Product!$B$4:$B$9</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sz="900">
              <a:solidFill>
                <a:srgbClr val="1A1A1A"/>
              </a:solidFill>
              <a:latin typeface="+mn-lt"/>
            </a:defRPr>
          </a:pPr>
        </a:p>
      </c:txPr>
    </c:legend>
    <c:plotVisOnly val="1"/>
  </c:chart>
  <c:spPr>
    <a:solidFill>
      <a:schemeClr val="accent1"/>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53622047244094"/>
          <c:y val="0.143624160113751"/>
          <c:w val="0.631811023622047"/>
          <c:h val="0.653780762546548"/>
        </c:manualLayout>
      </c:layout>
      <c:barChart>
        <c:barDir val="col"/>
        <c:ser>
          <c:idx val="0"/>
          <c:order val="0"/>
          <c:tx>
            <c:v>Books</c:v>
          </c:tx>
          <c:spPr>
            <a:solidFill>
              <a:schemeClr val="accent6"/>
            </a:solidFill>
            <a:ln cmpd="sng">
              <a:solidFill>
                <a:srgbClr val="000000"/>
              </a:solidFill>
            </a:ln>
          </c:spPr>
          <c:dLbls>
            <c:numFmt formatCode="General" sourceLinked="1"/>
            <c:txPr>
              <a:bodyPr/>
              <a:lstStyle/>
              <a:p>
                <a:pPr lvl="0">
                  <a:defRPr b="0" i="0" sz="1000">
                    <a:latin typeface="+mn-lt"/>
                  </a:defRPr>
                </a:pPr>
              </a:p>
            </c:txPr>
            <c:showLegendKey val="0"/>
            <c:showVal val="1"/>
            <c:showCatName val="0"/>
            <c:showSerName val="0"/>
            <c:showPercent val="0"/>
            <c:showBubbleSize val="0"/>
          </c:dLbls>
          <c:cat>
            <c:strRef>
              <c:f>'region vs product'!$A$5:$A$6</c:f>
            </c:strRef>
          </c:cat>
          <c:val>
            <c:numRef>
              <c:f>'region vs product'!$B$5:$B$6</c:f>
              <c:numCache/>
            </c:numRef>
          </c:val>
        </c:ser>
        <c:ser>
          <c:idx val="1"/>
          <c:order val="1"/>
          <c:tx>
            <c:v>Clothing</c:v>
          </c:tx>
          <c:spPr>
            <a:solidFill>
              <a:schemeClr val="accent5"/>
            </a:solidFill>
            <a:ln cmpd="sng">
              <a:solidFill>
                <a:srgbClr val="000000"/>
              </a:solidFill>
            </a:ln>
          </c:spPr>
          <c:dLbls>
            <c:numFmt formatCode="General" sourceLinked="1"/>
            <c:txPr>
              <a:bodyPr/>
              <a:lstStyle/>
              <a:p>
                <a:pPr lvl="0">
                  <a:defRPr b="0" i="0" sz="1000">
                    <a:latin typeface="+mn-lt"/>
                  </a:defRPr>
                </a:pPr>
              </a:p>
            </c:txPr>
            <c:showLegendKey val="0"/>
            <c:showVal val="1"/>
            <c:showCatName val="0"/>
            <c:showSerName val="0"/>
            <c:showPercent val="0"/>
            <c:showBubbleSize val="0"/>
          </c:dLbls>
          <c:cat>
            <c:strRef>
              <c:f>'region vs product'!$A$5:$A$6</c:f>
            </c:strRef>
          </c:cat>
          <c:val>
            <c:numRef>
              <c:f>'region vs product'!$C$5:$C$6</c:f>
              <c:numCache/>
            </c:numRef>
          </c:val>
        </c:ser>
        <c:ser>
          <c:idx val="2"/>
          <c:order val="2"/>
          <c:tx>
            <c:v>Electronics</c:v>
          </c:tx>
          <c:spPr>
            <a:solidFill>
              <a:schemeClr val="accent4"/>
            </a:solidFill>
            <a:ln cmpd="sng">
              <a:solidFill>
                <a:srgbClr val="000000"/>
              </a:solidFill>
            </a:ln>
          </c:spPr>
          <c:dLbls>
            <c:numFmt formatCode="General" sourceLinked="1"/>
            <c:txPr>
              <a:bodyPr/>
              <a:lstStyle/>
              <a:p>
                <a:pPr lvl="0">
                  <a:defRPr b="0" i="0" sz="1000">
                    <a:latin typeface="+mn-lt"/>
                  </a:defRPr>
                </a:pPr>
              </a:p>
            </c:txPr>
            <c:showLegendKey val="0"/>
            <c:showVal val="1"/>
            <c:showCatName val="0"/>
            <c:showSerName val="0"/>
            <c:showPercent val="0"/>
            <c:showBubbleSize val="0"/>
          </c:dLbls>
          <c:cat>
            <c:strRef>
              <c:f>'region vs product'!$A$5:$A$6</c:f>
            </c:strRef>
          </c:cat>
          <c:val>
            <c:numRef>
              <c:f>'region vs product'!$D$5:$D$6</c:f>
              <c:numCache/>
            </c:numRef>
          </c:val>
        </c:ser>
        <c:ser>
          <c:idx val="3"/>
          <c:order val="3"/>
          <c:tx>
            <c:v>Furniture</c:v>
          </c:tx>
          <c:spPr>
            <a:solidFill>
              <a:schemeClr val="accent6"/>
            </a:solidFill>
            <a:ln cmpd="sng">
              <a:solidFill>
                <a:srgbClr val="000000"/>
              </a:solidFill>
            </a:ln>
          </c:spPr>
          <c:dLbls>
            <c:numFmt formatCode="General" sourceLinked="1"/>
            <c:txPr>
              <a:bodyPr/>
              <a:lstStyle/>
              <a:p>
                <a:pPr lvl="0">
                  <a:defRPr b="0" i="0" sz="1000">
                    <a:latin typeface="+mn-lt"/>
                  </a:defRPr>
                </a:pPr>
              </a:p>
            </c:txPr>
            <c:showLegendKey val="0"/>
            <c:showVal val="1"/>
            <c:showCatName val="0"/>
            <c:showSerName val="0"/>
            <c:showPercent val="0"/>
            <c:showBubbleSize val="0"/>
          </c:dLbls>
          <c:cat>
            <c:strRef>
              <c:f>'region vs product'!$A$5:$A$6</c:f>
            </c:strRef>
          </c:cat>
          <c:val>
            <c:numRef>
              <c:f>'region vs product'!$E$5:$E$6</c:f>
              <c:numCache/>
            </c:numRef>
          </c:val>
        </c:ser>
        <c:ser>
          <c:idx val="4"/>
          <c:order val="4"/>
          <c:tx>
            <c:v>Office Supplies</c:v>
          </c:tx>
          <c:spPr>
            <a:solidFill>
              <a:schemeClr val="accent5"/>
            </a:solidFill>
            <a:ln cmpd="sng">
              <a:solidFill>
                <a:srgbClr val="000000"/>
              </a:solidFill>
            </a:ln>
          </c:spPr>
          <c:dLbls>
            <c:numFmt formatCode="General" sourceLinked="1"/>
            <c:txPr>
              <a:bodyPr/>
              <a:lstStyle/>
              <a:p>
                <a:pPr lvl="0">
                  <a:defRPr b="0" i="0" sz="1000">
                    <a:latin typeface="+mn-lt"/>
                  </a:defRPr>
                </a:pPr>
              </a:p>
            </c:txPr>
            <c:showLegendKey val="0"/>
            <c:showVal val="1"/>
            <c:showCatName val="0"/>
            <c:showSerName val="0"/>
            <c:showPercent val="0"/>
            <c:showBubbleSize val="0"/>
          </c:dLbls>
          <c:cat>
            <c:strRef>
              <c:f>'region vs product'!$A$5:$A$6</c:f>
            </c:strRef>
          </c:cat>
          <c:val>
            <c:numRef>
              <c:f>'region vs product'!$F$5:$F$6</c:f>
              <c:numCache/>
            </c:numRef>
          </c:val>
        </c:ser>
        <c:axId val="2033301429"/>
        <c:axId val="2005341375"/>
      </c:barChart>
      <c:catAx>
        <c:axId val="20333014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2005341375"/>
      </c:catAx>
      <c:valAx>
        <c:axId val="200534137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2033301429"/>
      </c:valAx>
      <c:spPr>
        <a:solidFill>
          <a:schemeClr val="accent1"/>
        </a:solidFill>
      </c:spPr>
    </c:plotArea>
    <c:legend>
      <c:legendPos val="r"/>
      <c:overlay val="0"/>
      <c:txPr>
        <a:bodyPr/>
        <a:lstStyle/>
        <a:p>
          <a:pPr lvl="0">
            <a:defRPr b="0" i="0" sz="900">
              <a:solidFill>
                <a:srgbClr val="1A1A1A"/>
              </a:solidFill>
              <a:latin typeface="+mn-lt"/>
            </a:defRPr>
          </a:pPr>
        </a:p>
      </c:txPr>
    </c:legend>
    <c:plotVisOnly val="1"/>
  </c:chart>
  <c:spPr>
    <a:solidFill>
      <a:schemeClr val="accent1"/>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757575"/>
                </a:solidFill>
                <a:latin typeface="+mn-lt"/>
              </a:defRPr>
            </a:pPr>
            <a:r>
              <a:rPr b="1" i="0" sz="1400">
                <a:solidFill>
                  <a:srgbClr val="757575"/>
                </a:solidFill>
                <a:latin typeface="+mn-lt"/>
              </a:rPr>
              <a:t>sales per trends</a:t>
            </a:r>
          </a:p>
        </c:rich>
      </c:tx>
      <c:overlay val="0"/>
    </c:title>
    <c:plotArea>
      <c:layout/>
      <c:lineChart>
        <c:varyColors val="0"/>
        <c:axId val="750935379"/>
        <c:axId val="1876718121"/>
      </c:lineChart>
      <c:catAx>
        <c:axId val="7509353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1876718121"/>
      </c:catAx>
      <c:valAx>
        <c:axId val="1876718121"/>
        <c:scaling>
          <c:orientation val="minMax"/>
        </c:scaling>
        <c:delete val="0"/>
        <c:axPos val="l"/>
        <c:tickLblPos val="nextTo"/>
        <c:spPr>
          <a:ln>
            <a:noFill/>
          </a:ln>
        </c:spPr>
        <c:crossAx val="750935379"/>
      </c:valAx>
    </c:plotArea>
    <c:legend>
      <c:legendPos val="r"/>
      <c:overlay val="0"/>
      <c:txPr>
        <a:bodyPr/>
        <a:lstStyle/>
        <a:p>
          <a:pPr lvl="0">
            <a:defRPr b="0" i="0" sz="900">
              <a:solidFill>
                <a:srgbClr val="1A1A1A"/>
              </a:solidFill>
              <a:latin typeface="+mn-lt"/>
            </a:defRPr>
          </a:pPr>
        </a:p>
      </c:txPr>
    </c:legend>
    <c:plotVisOnly val="1"/>
  </c:chart>
  <c:spPr>
    <a:solidFill>
      <a:schemeClr val="accent1"/>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757575"/>
                </a:solidFill>
                <a:latin typeface="+mn-lt"/>
              </a:defRPr>
            </a:pPr>
            <a:r>
              <a:rPr b="1" i="0" sz="1400">
                <a:solidFill>
                  <a:srgbClr val="757575"/>
                </a:solidFill>
                <a:latin typeface="+mn-lt"/>
              </a:rPr>
              <a:t>Sales By Region</a:t>
            </a:r>
          </a:p>
        </c:rich>
      </c:tx>
      <c:overlay val="0"/>
    </c:title>
    <c:plotArea>
      <c:layout/>
      <c:barChart>
        <c:barDir val="bar"/>
        <c:ser>
          <c:idx val="0"/>
          <c:order val="0"/>
          <c:tx>
            <c:v>Total</c:v>
          </c:tx>
          <c:spPr>
            <a:solidFill>
              <a:schemeClr val="accent6"/>
            </a:solidFill>
            <a:ln cmpd="sng">
              <a:solidFill>
                <a:srgbClr val="000000"/>
              </a:solidFill>
            </a:ln>
          </c:spPr>
          <c:dLbls>
            <c:numFmt formatCode="General" sourceLinked="1"/>
            <c:txPr>
              <a:bodyPr/>
              <a:lstStyle/>
              <a:p>
                <a:pPr lvl="0">
                  <a:defRPr b="0" i="0" sz="1000">
                    <a:latin typeface="+mn-lt"/>
                  </a:defRPr>
                </a:pPr>
              </a:p>
            </c:txPr>
            <c:showLegendKey val="0"/>
            <c:showVal val="1"/>
            <c:showCatName val="0"/>
            <c:showSerName val="0"/>
            <c:showPercent val="0"/>
            <c:showBubbleSize val="0"/>
          </c:dLbls>
          <c:cat>
            <c:strRef>
              <c:f>Region!$A$4:$A$9</c:f>
            </c:strRef>
          </c:cat>
          <c:val>
            <c:numRef>
              <c:f>Region!$B$4:$B$9</c:f>
              <c:numCache/>
            </c:numRef>
          </c:val>
        </c:ser>
        <c:axId val="939291073"/>
        <c:axId val="1708675219"/>
      </c:barChart>
      <c:catAx>
        <c:axId val="93929107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1708675219"/>
      </c:catAx>
      <c:valAx>
        <c:axId val="1708675219"/>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939291073"/>
        <c:crosses val="max"/>
      </c:valAx>
    </c:plotArea>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757575"/>
                </a:solidFill>
                <a:latin typeface="+mn-lt"/>
              </a:defRPr>
            </a:pPr>
            <a:r>
              <a:rPr b="1" i="0" sz="1400">
                <a:solidFill>
                  <a:srgbClr val="757575"/>
                </a:solidFill>
                <a:latin typeface="+mn-lt"/>
              </a:rPr>
              <a:t>sales by product</a:t>
            </a:r>
          </a:p>
        </c:rich>
      </c:tx>
      <c:overlay val="0"/>
    </c:title>
    <c:plotArea>
      <c:layout/>
      <c:pieChart>
        <c:varyColors val="1"/>
        <c:ser>
          <c:idx val="0"/>
          <c:order val="0"/>
          <c:tx>
            <c:strRef>
              <c:f>Product!$B$3</c:f>
            </c:strRef>
          </c:tx>
          <c:dPt>
            <c:idx val="0"/>
            <c:spPr>
              <a:solidFill>
                <a:schemeClr val="accent6"/>
              </a:solidFill>
            </c:spPr>
          </c:dPt>
          <c:dPt>
            <c:idx val="1"/>
            <c:spPr>
              <a:solidFill>
                <a:schemeClr val="accent5"/>
              </a:solidFill>
            </c:spPr>
          </c:dPt>
          <c:dPt>
            <c:idx val="2"/>
            <c:spPr>
              <a:solidFill>
                <a:schemeClr val="accent4"/>
              </a:solidFill>
            </c:spPr>
          </c:dPt>
          <c:dPt>
            <c:idx val="3"/>
            <c:spPr>
              <a:solidFill>
                <a:schemeClr val="accent6"/>
              </a:solidFill>
            </c:spPr>
          </c:dPt>
          <c:dPt>
            <c:idx val="4"/>
            <c:spPr>
              <a:solidFill>
                <a:schemeClr val="accent5"/>
              </a:solidFill>
            </c:spPr>
          </c:dPt>
          <c:dPt>
            <c:idx val="5"/>
            <c:spPr>
              <a:solidFill>
                <a:srgbClr val="F79646"/>
              </a:solidFill>
            </c:spPr>
          </c:dPt>
          <c:dLbls>
            <c:showLegendKey val="0"/>
            <c:showVal val="0"/>
            <c:showCatName val="0"/>
            <c:showSerName val="0"/>
            <c:showPercent val="1"/>
            <c:showBubbleSize val="0"/>
            <c:showLeaderLines val="1"/>
          </c:dLbls>
          <c:cat>
            <c:strRef>
              <c:f>Product!$A$4:$A$9</c:f>
            </c:strRef>
          </c:cat>
          <c:val>
            <c:numRef>
              <c:f>Product!$B$4:$B$9</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sz="90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Books</c:v>
          </c:tx>
          <c:spPr>
            <a:solidFill>
              <a:schemeClr val="accent6"/>
            </a:solidFill>
            <a:ln cmpd="sng">
              <a:solidFill>
                <a:srgbClr val="000000"/>
              </a:solidFill>
            </a:ln>
          </c:spPr>
          <c:dLbls>
            <c:numFmt formatCode="General" sourceLinked="1"/>
            <c:txPr>
              <a:bodyPr/>
              <a:lstStyle/>
              <a:p>
                <a:pPr lvl="0">
                  <a:defRPr b="0" i="0" sz="1000">
                    <a:latin typeface="+mn-lt"/>
                  </a:defRPr>
                </a:pPr>
              </a:p>
            </c:txPr>
            <c:showLegendKey val="0"/>
            <c:showVal val="1"/>
            <c:showCatName val="0"/>
            <c:showSerName val="0"/>
            <c:showPercent val="0"/>
            <c:showBubbleSize val="0"/>
          </c:dLbls>
          <c:cat>
            <c:strRef>
              <c:f>'region vs product'!$A$5:$A$6</c:f>
            </c:strRef>
          </c:cat>
          <c:val>
            <c:numRef>
              <c:f>'region vs product'!$B$5:$B$6</c:f>
              <c:numCache/>
            </c:numRef>
          </c:val>
        </c:ser>
        <c:ser>
          <c:idx val="1"/>
          <c:order val="1"/>
          <c:tx>
            <c:v>Clothing</c:v>
          </c:tx>
          <c:spPr>
            <a:solidFill>
              <a:schemeClr val="accent5"/>
            </a:solidFill>
            <a:ln cmpd="sng">
              <a:solidFill>
                <a:srgbClr val="000000"/>
              </a:solidFill>
            </a:ln>
          </c:spPr>
          <c:dLbls>
            <c:numFmt formatCode="General" sourceLinked="1"/>
            <c:txPr>
              <a:bodyPr/>
              <a:lstStyle/>
              <a:p>
                <a:pPr lvl="0">
                  <a:defRPr b="0" i="0" sz="1000">
                    <a:latin typeface="+mn-lt"/>
                  </a:defRPr>
                </a:pPr>
              </a:p>
            </c:txPr>
            <c:showLegendKey val="0"/>
            <c:showVal val="1"/>
            <c:showCatName val="0"/>
            <c:showSerName val="0"/>
            <c:showPercent val="0"/>
            <c:showBubbleSize val="0"/>
          </c:dLbls>
          <c:cat>
            <c:strRef>
              <c:f>'region vs product'!$A$5:$A$6</c:f>
            </c:strRef>
          </c:cat>
          <c:val>
            <c:numRef>
              <c:f>'region vs product'!$C$5:$C$6</c:f>
              <c:numCache/>
            </c:numRef>
          </c:val>
        </c:ser>
        <c:ser>
          <c:idx val="2"/>
          <c:order val="2"/>
          <c:tx>
            <c:v>Electronics</c:v>
          </c:tx>
          <c:spPr>
            <a:solidFill>
              <a:schemeClr val="accent4"/>
            </a:solidFill>
            <a:ln cmpd="sng">
              <a:solidFill>
                <a:srgbClr val="000000"/>
              </a:solidFill>
            </a:ln>
          </c:spPr>
          <c:dLbls>
            <c:numFmt formatCode="General" sourceLinked="1"/>
            <c:txPr>
              <a:bodyPr/>
              <a:lstStyle/>
              <a:p>
                <a:pPr lvl="0">
                  <a:defRPr b="0" i="0" sz="1000">
                    <a:latin typeface="+mn-lt"/>
                  </a:defRPr>
                </a:pPr>
              </a:p>
            </c:txPr>
            <c:showLegendKey val="0"/>
            <c:showVal val="1"/>
            <c:showCatName val="0"/>
            <c:showSerName val="0"/>
            <c:showPercent val="0"/>
            <c:showBubbleSize val="0"/>
          </c:dLbls>
          <c:cat>
            <c:strRef>
              <c:f>'region vs product'!$A$5:$A$6</c:f>
            </c:strRef>
          </c:cat>
          <c:val>
            <c:numRef>
              <c:f>'region vs product'!$D$5:$D$6</c:f>
              <c:numCache/>
            </c:numRef>
          </c:val>
        </c:ser>
        <c:ser>
          <c:idx val="3"/>
          <c:order val="3"/>
          <c:tx>
            <c:v>Furniture</c:v>
          </c:tx>
          <c:spPr>
            <a:solidFill>
              <a:schemeClr val="accent6"/>
            </a:solidFill>
            <a:ln cmpd="sng">
              <a:solidFill>
                <a:srgbClr val="000000"/>
              </a:solidFill>
            </a:ln>
          </c:spPr>
          <c:dLbls>
            <c:numFmt formatCode="General" sourceLinked="1"/>
            <c:txPr>
              <a:bodyPr/>
              <a:lstStyle/>
              <a:p>
                <a:pPr lvl="0">
                  <a:defRPr b="0" i="0" sz="1000">
                    <a:latin typeface="+mn-lt"/>
                  </a:defRPr>
                </a:pPr>
              </a:p>
            </c:txPr>
            <c:showLegendKey val="0"/>
            <c:showVal val="1"/>
            <c:showCatName val="0"/>
            <c:showSerName val="0"/>
            <c:showPercent val="0"/>
            <c:showBubbleSize val="0"/>
          </c:dLbls>
          <c:cat>
            <c:strRef>
              <c:f>'region vs product'!$A$5:$A$6</c:f>
            </c:strRef>
          </c:cat>
          <c:val>
            <c:numRef>
              <c:f>'region vs product'!$E$5:$E$6</c:f>
              <c:numCache/>
            </c:numRef>
          </c:val>
        </c:ser>
        <c:ser>
          <c:idx val="4"/>
          <c:order val="4"/>
          <c:tx>
            <c:v>Office Supplies</c:v>
          </c:tx>
          <c:spPr>
            <a:solidFill>
              <a:schemeClr val="accent5"/>
            </a:solidFill>
            <a:ln cmpd="sng">
              <a:solidFill>
                <a:srgbClr val="000000"/>
              </a:solidFill>
            </a:ln>
          </c:spPr>
          <c:dLbls>
            <c:numFmt formatCode="General" sourceLinked="1"/>
            <c:txPr>
              <a:bodyPr/>
              <a:lstStyle/>
              <a:p>
                <a:pPr lvl="0">
                  <a:defRPr b="0" i="0" sz="1000">
                    <a:latin typeface="+mn-lt"/>
                  </a:defRPr>
                </a:pPr>
              </a:p>
            </c:txPr>
            <c:showLegendKey val="0"/>
            <c:showVal val="1"/>
            <c:showCatName val="0"/>
            <c:showSerName val="0"/>
            <c:showPercent val="0"/>
            <c:showBubbleSize val="0"/>
          </c:dLbls>
          <c:cat>
            <c:strRef>
              <c:f>'region vs product'!$A$5:$A$6</c:f>
            </c:strRef>
          </c:cat>
          <c:val>
            <c:numRef>
              <c:f>'region vs product'!$F$5:$F$6</c:f>
              <c:numCache/>
            </c:numRef>
          </c:val>
        </c:ser>
        <c:axId val="1373566248"/>
        <c:axId val="733448448"/>
      </c:barChart>
      <c:catAx>
        <c:axId val="13735662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733448448"/>
      </c:catAx>
      <c:valAx>
        <c:axId val="73344844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1373566248"/>
      </c:valAx>
    </c:plotArea>
    <c:legend>
      <c:legendPos val="r"/>
      <c:overlay val="0"/>
      <c:txPr>
        <a:bodyPr/>
        <a:lstStyle/>
        <a:p>
          <a:pPr lvl="0">
            <a:defRPr b="0" i="0" sz="90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axId val="1667730241"/>
        <c:axId val="1521032465"/>
      </c:lineChart>
      <c:catAx>
        <c:axId val="16677302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1521032465"/>
      </c:catAx>
      <c:valAx>
        <c:axId val="1521032465"/>
        <c:scaling>
          <c:orientation val="minMax"/>
        </c:scaling>
        <c:delete val="0"/>
        <c:axPos val="l"/>
        <c:tickLblPos val="nextTo"/>
        <c:spPr>
          <a:ln>
            <a:noFill/>
          </a:ln>
        </c:spPr>
        <c:crossAx val="1667730241"/>
      </c:valAx>
    </c:plotArea>
    <c:legend>
      <c:legendPos val="r"/>
      <c:overlay val="0"/>
      <c:txPr>
        <a:bodyPr/>
        <a:lstStyle/>
        <a:p>
          <a:pPr lvl="0">
            <a:defRPr b="0" i="0" sz="90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457200</xdr:colOff>
      <xdr:row>4</xdr:row>
      <xdr:rowOff>95250</xdr:rowOff>
    </xdr:from>
    <xdr:ext cx="4610100" cy="6648450"/>
    <xdr:graphicFrame>
      <xdr:nvGraphicFramePr>
        <xdr:cNvPr id="1942144732"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10</xdr:col>
      <xdr:colOff>276225</xdr:colOff>
      <xdr:row>4</xdr:row>
      <xdr:rowOff>95250</xdr:rowOff>
    </xdr:from>
    <xdr:ext cx="4962525" cy="2914650"/>
    <xdr:graphicFrame>
      <xdr:nvGraphicFramePr>
        <xdr:cNvPr id="1298389121"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18</xdr:col>
      <xdr:colOff>504825</xdr:colOff>
      <xdr:row>4</xdr:row>
      <xdr:rowOff>114300</xdr:rowOff>
    </xdr:from>
    <xdr:ext cx="5257800" cy="2943225"/>
    <xdr:graphicFrame>
      <xdr:nvGraphicFramePr>
        <xdr:cNvPr id="944513035" name="Chart 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10</xdr:col>
      <xdr:colOff>371475</xdr:colOff>
      <xdr:row>19</xdr:row>
      <xdr:rowOff>66675</xdr:rowOff>
    </xdr:from>
    <xdr:ext cx="10239375" cy="3867150"/>
    <xdr:graphicFrame>
      <xdr:nvGraphicFramePr>
        <xdr:cNvPr id="1895650957" name="Chart 4"/>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361950</xdr:colOff>
      <xdr:row>0</xdr:row>
      <xdr:rowOff>85725</xdr:rowOff>
    </xdr:from>
    <xdr:ext cx="17183100" cy="800100"/>
    <xdr:sp>
      <xdr:nvSpPr>
        <xdr:cNvPr id="3" name="Shape 3"/>
        <xdr:cNvSpPr/>
      </xdr:nvSpPr>
      <xdr:spPr>
        <a:xfrm>
          <a:off x="0" y="3389475"/>
          <a:ext cx="10692000" cy="781050"/>
        </a:xfrm>
        <a:prstGeom prst="roundRect">
          <a:avLst>
            <a:gd fmla="val 16667" name="adj"/>
          </a:avLst>
        </a:prstGeom>
        <a:solidFill>
          <a:srgbClr val="B7CCE4"/>
        </a:solidFill>
        <a:ln cap="flat" cmpd="sng" w="12700">
          <a:solidFill>
            <a:srgbClr val="366092"/>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342900</xdr:colOff>
      <xdr:row>1</xdr:row>
      <xdr:rowOff>0</xdr:rowOff>
    </xdr:from>
    <xdr:ext cx="8429625" cy="695325"/>
    <xdr:sp>
      <xdr:nvSpPr>
        <xdr:cNvPr id="4" name="Shape 4"/>
        <xdr:cNvSpPr txBox="1"/>
      </xdr:nvSpPr>
      <xdr:spPr>
        <a:xfrm>
          <a:off x="1131823" y="3434560"/>
          <a:ext cx="8428355" cy="690880"/>
        </a:xfrm>
        <a:prstGeom prst="rect">
          <a:avLst/>
        </a:prstGeom>
        <a:noFill/>
        <a:ln>
          <a:noFill/>
        </a:ln>
      </xdr:spPr>
      <xdr:txBody>
        <a:bodyPr anchorCtr="0" anchor="ctr" bIns="45700" lIns="91425" spcFirstLastPara="1" rIns="91425" wrap="square" tIns="45700">
          <a:spAutoFit/>
        </a:bodyPr>
        <a:lstStyle/>
        <a:p>
          <a:pPr indent="0" lvl="0" marL="0" rtl="0" algn="ctr">
            <a:spcBef>
              <a:spcPts val="0"/>
            </a:spcBef>
            <a:spcAft>
              <a:spcPts val="0"/>
            </a:spcAft>
            <a:buNone/>
          </a:pPr>
          <a:r>
            <a:rPr b="1" lang="en-US" sz="3600">
              <a:solidFill>
                <a:schemeClr val="dk1"/>
              </a:solidFill>
              <a:latin typeface="Calibri"/>
              <a:ea typeface="Calibri"/>
              <a:cs typeface="Calibri"/>
              <a:sym typeface="Calibri"/>
            </a:rPr>
            <a:t>Sale report dashboard</a:t>
          </a:r>
          <a:endParaRPr b="1" sz="36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152400</xdr:colOff>
      <xdr:row>11</xdr:row>
      <xdr:rowOff>95250</xdr:rowOff>
    </xdr:from>
    <xdr:ext cx="4600575" cy="2981325"/>
    <xdr:graphicFrame>
      <xdr:nvGraphicFramePr>
        <xdr:cNvPr id="52310200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466725</xdr:colOff>
      <xdr:row>11</xdr:row>
      <xdr:rowOff>19050</xdr:rowOff>
    </xdr:from>
    <xdr:ext cx="4600575" cy="2981325"/>
    <xdr:graphicFrame>
      <xdr:nvGraphicFramePr>
        <xdr:cNvPr id="834256882"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1123950</xdr:colOff>
      <xdr:row>12</xdr:row>
      <xdr:rowOff>180975</xdr:rowOff>
    </xdr:from>
    <xdr:ext cx="4838700" cy="2981325"/>
    <xdr:graphicFrame>
      <xdr:nvGraphicFramePr>
        <xdr:cNvPr id="1069167434" name="Chart 7"/>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314325</xdr:colOff>
      <xdr:row>13</xdr:row>
      <xdr:rowOff>171450</xdr:rowOff>
    </xdr:from>
    <xdr:ext cx="4619625" cy="2981325"/>
    <xdr:graphicFrame>
      <xdr:nvGraphicFramePr>
        <xdr:cNvPr id="1354059043" name="Chart 8"/>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1" sheet="Project Instructions"/>
  </cacheSource>
  <cacheFields>
    <cacheField name="PR. 2 Analyzer">
      <sharedItems containsSemiMixedTypes="0" containsString="0"/>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month sales" cacheId="0" dataCaption="" compact="0" compactData="0">
  <location ref="A3:E12" firstHeaderRow="0" firstDataRow="0" firstDataCol="0"/>
  <pivotFields>
    <pivotField name="PR. 2 Analyzer" compact="0" outline="0" multipleItemSelectionAllowed="1" showAll="0">
      <items>
        <item t="default"/>
      </items>
    </pivotField>
  </pivotFields>
</pivotTableDefinition>
</file>

<file path=xl/tables/table1.xml><?xml version="1.0" encoding="utf-8"?>
<table xmlns="http://schemas.openxmlformats.org/spreadsheetml/2006/main" ref="A1:I201" displayName="Table_1" name="Table_1" id="1">
  <tableColumns count="9">
    <tableColumn name="Customer_ID" id="1"/>
    <tableColumn name="Customer_Name" id="2"/>
    <tableColumn name="Region" id="3"/>
    <tableColumn name="Product_Category" id="4"/>
    <tableColumn name=" Sales " id="5"/>
    <tableColumn name="Quantity" id="6"/>
    <tableColumn name="Discount" id="7"/>
    <tableColumn name="Order_Date" id="8"/>
    <tableColumn name=" Profit " id="9"/>
  </tableColumns>
  <tableStyleInfo name="Datase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4.86"/>
    <col customWidth="1" min="2" max="21" width="8.71"/>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3" t="s">
        <v>1</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ht="15.75" customHeight="1">
      <c r="A4" s="2"/>
      <c r="B4" s="2"/>
      <c r="C4" s="2"/>
      <c r="D4" s="2"/>
      <c r="E4" s="2"/>
      <c r="F4" s="2"/>
      <c r="G4" s="2"/>
      <c r="H4" s="2"/>
      <c r="I4" s="2"/>
      <c r="J4" s="2"/>
      <c r="K4" s="2"/>
      <c r="L4" s="2"/>
      <c r="M4" s="2"/>
      <c r="N4" s="2"/>
      <c r="O4" s="2"/>
      <c r="P4" s="2"/>
      <c r="Q4" s="2"/>
      <c r="R4" s="2"/>
      <c r="S4" s="2"/>
      <c r="T4" s="2"/>
      <c r="U4" s="2"/>
      <c r="V4" s="2"/>
      <c r="W4" s="2"/>
      <c r="X4" s="2"/>
      <c r="Y4" s="2"/>
      <c r="Z4" s="2"/>
    </row>
    <row r="5" ht="15.75" customHeight="1">
      <c r="A5" s="2"/>
      <c r="B5" s="2"/>
      <c r="C5" s="2"/>
      <c r="D5" s="2"/>
      <c r="E5" s="2"/>
      <c r="F5" s="2"/>
      <c r="G5" s="2"/>
      <c r="H5" s="2"/>
      <c r="I5" s="2"/>
      <c r="J5" s="2"/>
      <c r="K5" s="2"/>
      <c r="L5" s="2"/>
      <c r="M5" s="2"/>
      <c r="N5" s="2"/>
      <c r="O5" s="2"/>
      <c r="P5" s="2"/>
      <c r="Q5" s="2"/>
      <c r="R5" s="2"/>
      <c r="S5" s="2"/>
      <c r="T5" s="2"/>
      <c r="U5" s="2"/>
      <c r="V5" s="2"/>
      <c r="W5" s="2"/>
      <c r="X5" s="2"/>
      <c r="Y5" s="2"/>
      <c r="Z5" s="2"/>
    </row>
    <row r="6" ht="15.75" customHeight="1">
      <c r="A6" s="2"/>
      <c r="B6" s="2"/>
      <c r="C6" s="2"/>
      <c r="D6" s="2"/>
      <c r="E6" s="2"/>
      <c r="F6" s="2"/>
      <c r="G6" s="2"/>
      <c r="H6" s="2"/>
      <c r="I6" s="2"/>
      <c r="J6" s="2"/>
      <c r="K6" s="2"/>
      <c r="L6" s="2"/>
      <c r="M6" s="2"/>
      <c r="N6" s="2"/>
      <c r="O6" s="2"/>
      <c r="P6" s="2"/>
      <c r="Q6" s="2"/>
      <c r="R6" s="2"/>
      <c r="S6" s="2"/>
      <c r="T6" s="2"/>
      <c r="U6" s="2"/>
      <c r="V6" s="2"/>
      <c r="W6" s="2"/>
      <c r="X6" s="2"/>
      <c r="Y6" s="2"/>
      <c r="Z6" s="2"/>
    </row>
    <row r="7" ht="15.75" customHeight="1">
      <c r="A7" s="2"/>
      <c r="B7" s="2"/>
      <c r="C7" s="2"/>
      <c r="D7" s="2"/>
      <c r="E7" s="2"/>
      <c r="F7" s="2"/>
      <c r="G7" s="2"/>
      <c r="H7" s="2"/>
      <c r="I7" s="2"/>
      <c r="J7" s="2"/>
      <c r="K7" s="2"/>
      <c r="L7" s="2"/>
      <c r="M7" s="2"/>
      <c r="N7" s="2"/>
      <c r="O7" s="2"/>
      <c r="P7" s="2"/>
      <c r="Q7" s="2"/>
      <c r="R7" s="2"/>
      <c r="S7" s="2"/>
      <c r="T7" s="2"/>
      <c r="U7" s="2"/>
      <c r="V7" s="2"/>
      <c r="W7" s="2"/>
      <c r="X7" s="2"/>
      <c r="Y7" s="2"/>
      <c r="Z7" s="2"/>
    </row>
    <row r="8" ht="15.75" customHeight="1">
      <c r="A8" s="2"/>
      <c r="B8" s="2"/>
      <c r="C8" s="2"/>
      <c r="D8" s="2"/>
      <c r="E8" s="2"/>
      <c r="F8" s="2"/>
      <c r="G8" s="2"/>
      <c r="H8" s="2"/>
      <c r="I8" s="2"/>
      <c r="J8" s="2"/>
      <c r="K8" s="2"/>
      <c r="L8" s="2"/>
      <c r="M8" s="2"/>
      <c r="N8" s="2"/>
      <c r="O8" s="2"/>
      <c r="P8" s="2"/>
      <c r="Q8" s="2"/>
      <c r="R8" s="2"/>
      <c r="S8" s="2"/>
      <c r="T8" s="2"/>
      <c r="U8" s="2"/>
      <c r="V8" s="2"/>
      <c r="W8" s="2"/>
      <c r="X8" s="2"/>
      <c r="Y8" s="2"/>
      <c r="Z8" s="2"/>
    </row>
    <row r="9" ht="15.75" customHeight="1">
      <c r="A9" s="2"/>
      <c r="B9" s="2"/>
      <c r="C9" s="2"/>
      <c r="D9" s="2"/>
      <c r="E9" s="2"/>
      <c r="F9" s="2"/>
      <c r="G9" s="2"/>
      <c r="H9" s="2"/>
      <c r="I9" s="2"/>
      <c r="J9" s="2"/>
      <c r="K9" s="2"/>
      <c r="L9" s="2"/>
      <c r="M9" s="2"/>
      <c r="N9" s="2"/>
      <c r="O9" s="2"/>
      <c r="P9" s="2"/>
      <c r="Q9" s="2"/>
      <c r="R9" s="2"/>
      <c r="S9" s="2"/>
      <c r="T9" s="2"/>
      <c r="U9" s="2"/>
      <c r="V9" s="2"/>
      <c r="W9" s="2"/>
      <c r="X9" s="2"/>
      <c r="Y9" s="2"/>
      <c r="Z9" s="2"/>
    </row>
    <row r="10" ht="15.7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5.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5.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43"/>
    <col customWidth="1" min="2" max="2" width="16.57"/>
    <col customWidth="1" min="3" max="3" width="7.29"/>
    <col customWidth="1" min="4" max="4" width="16.71"/>
    <col customWidth="1" min="5" max="5" width="8.57"/>
    <col customWidth="1" min="6" max="6" width="8.86"/>
    <col customWidth="1" min="7" max="7" width="8.71"/>
    <col customWidth="1" min="8" max="8" width="11.57"/>
    <col customWidth="1" min="9" max="9" width="10.57"/>
    <col customWidth="1" min="10" max="25" width="8.71"/>
  </cols>
  <sheetData>
    <row r="1">
      <c r="A1" s="4" t="s">
        <v>2</v>
      </c>
      <c r="B1" s="4" t="s">
        <v>3</v>
      </c>
      <c r="C1" s="4" t="s">
        <v>4</v>
      </c>
      <c r="D1" s="4" t="s">
        <v>5</v>
      </c>
      <c r="E1" s="5" t="s">
        <v>6</v>
      </c>
      <c r="F1" s="4" t="s">
        <v>7</v>
      </c>
      <c r="G1" s="4" t="s">
        <v>8</v>
      </c>
      <c r="H1" s="4" t="s">
        <v>9</v>
      </c>
      <c r="I1" s="6" t="s">
        <v>10</v>
      </c>
      <c r="J1" s="7"/>
      <c r="K1" s="7"/>
      <c r="L1" s="7"/>
      <c r="M1" s="7"/>
      <c r="N1" s="7"/>
      <c r="O1" s="7"/>
      <c r="P1" s="7"/>
      <c r="Q1" s="7"/>
      <c r="R1" s="7"/>
      <c r="S1" s="7"/>
      <c r="T1" s="7"/>
      <c r="U1" s="7"/>
      <c r="V1" s="7"/>
      <c r="W1" s="7"/>
      <c r="X1" s="7"/>
      <c r="Y1" s="7"/>
    </row>
    <row r="2">
      <c r="A2" s="8" t="s">
        <v>11</v>
      </c>
      <c r="B2" s="8" t="s">
        <v>12</v>
      </c>
      <c r="C2" s="8" t="s">
        <v>13</v>
      </c>
      <c r="D2" s="8" t="s">
        <v>14</v>
      </c>
      <c r="E2" s="9">
        <v>1036.09</v>
      </c>
      <c r="F2" s="8">
        <v>4.0</v>
      </c>
      <c r="G2" s="8">
        <v>0.2</v>
      </c>
      <c r="H2" s="10">
        <v>45392.0</v>
      </c>
      <c r="I2" s="11">
        <v>331.55</v>
      </c>
    </row>
    <row r="3">
      <c r="A3" s="8" t="s">
        <v>15</v>
      </c>
      <c r="B3" s="8" t="s">
        <v>16</v>
      </c>
      <c r="C3" s="8" t="s">
        <v>13</v>
      </c>
      <c r="D3" s="8" t="s">
        <v>17</v>
      </c>
      <c r="E3" s="9">
        <v>1101.28</v>
      </c>
      <c r="F3" s="8">
        <v>3.0</v>
      </c>
      <c r="G3" s="8">
        <v>0.2</v>
      </c>
      <c r="H3" s="10">
        <v>45393.0</v>
      </c>
      <c r="I3" s="11">
        <v>440.51</v>
      </c>
    </row>
    <row r="4">
      <c r="A4" s="8" t="s">
        <v>18</v>
      </c>
      <c r="B4" s="8" t="s">
        <v>19</v>
      </c>
      <c r="C4" s="8" t="s">
        <v>20</v>
      </c>
      <c r="D4" s="8" t="s">
        <v>14</v>
      </c>
      <c r="E4" s="9">
        <v>713.34</v>
      </c>
      <c r="F4" s="8">
        <v>17.0</v>
      </c>
      <c r="G4" s="8">
        <v>0.0</v>
      </c>
      <c r="H4" s="10">
        <v>45396.0</v>
      </c>
      <c r="I4" s="11">
        <v>285.34</v>
      </c>
    </row>
    <row r="5">
      <c r="A5" s="8" t="s">
        <v>21</v>
      </c>
      <c r="B5" s="8" t="s">
        <v>16</v>
      </c>
      <c r="C5" s="8" t="s">
        <v>22</v>
      </c>
      <c r="D5" s="8" t="s">
        <v>23</v>
      </c>
      <c r="E5" s="9">
        <v>760.93</v>
      </c>
      <c r="F5" s="8">
        <v>4.0</v>
      </c>
      <c r="G5" s="8">
        <v>0.15</v>
      </c>
      <c r="H5" s="10">
        <v>45396.0</v>
      </c>
      <c r="I5" s="11">
        <v>161.7</v>
      </c>
    </row>
    <row r="6">
      <c r="A6" s="8" t="s">
        <v>24</v>
      </c>
      <c r="B6" s="8" t="s">
        <v>25</v>
      </c>
      <c r="C6" s="8" t="s">
        <v>26</v>
      </c>
      <c r="D6" s="8" t="s">
        <v>14</v>
      </c>
      <c r="E6" s="9">
        <v>847.0</v>
      </c>
      <c r="F6" s="8">
        <v>12.0</v>
      </c>
      <c r="G6" s="8">
        <v>0.2</v>
      </c>
      <c r="H6" s="10">
        <v>45397.0</v>
      </c>
      <c r="I6" s="11">
        <v>271.04</v>
      </c>
    </row>
    <row r="7">
      <c r="A7" s="8" t="s">
        <v>27</v>
      </c>
      <c r="B7" s="8" t="s">
        <v>28</v>
      </c>
      <c r="C7" s="8" t="s">
        <v>26</v>
      </c>
      <c r="D7" s="8" t="s">
        <v>29</v>
      </c>
      <c r="E7" s="9">
        <v>965.64</v>
      </c>
      <c r="F7" s="8">
        <v>8.0</v>
      </c>
      <c r="G7" s="8">
        <v>0.1</v>
      </c>
      <c r="H7" s="10">
        <v>45398.0</v>
      </c>
      <c r="I7" s="11">
        <v>304.18</v>
      </c>
    </row>
    <row r="8">
      <c r="A8" s="8" t="s">
        <v>30</v>
      </c>
      <c r="B8" s="8" t="s">
        <v>31</v>
      </c>
      <c r="C8" s="8" t="s">
        <v>13</v>
      </c>
      <c r="D8" s="8" t="s">
        <v>23</v>
      </c>
      <c r="E8" s="9">
        <v>1317.53</v>
      </c>
      <c r="F8" s="8">
        <v>12.0</v>
      </c>
      <c r="G8" s="8">
        <v>0.05</v>
      </c>
      <c r="H8" s="10">
        <v>45398.0</v>
      </c>
      <c r="I8" s="11">
        <v>312.91</v>
      </c>
      <c r="J8" s="12"/>
    </row>
    <row r="9">
      <c r="A9" s="8" t="s">
        <v>32</v>
      </c>
      <c r="B9" s="8" t="s">
        <v>33</v>
      </c>
      <c r="C9" s="8" t="s">
        <v>20</v>
      </c>
      <c r="D9" s="8" t="s">
        <v>29</v>
      </c>
      <c r="E9" s="9">
        <v>1074.47</v>
      </c>
      <c r="F9" s="8">
        <v>6.0</v>
      </c>
      <c r="G9" s="8">
        <v>0.2</v>
      </c>
      <c r="H9" s="10">
        <v>45401.0</v>
      </c>
      <c r="I9" s="11">
        <v>300.85</v>
      </c>
    </row>
    <row r="10">
      <c r="A10" s="8" t="s">
        <v>34</v>
      </c>
      <c r="B10" s="8" t="s">
        <v>35</v>
      </c>
      <c r="C10" s="8" t="s">
        <v>36</v>
      </c>
      <c r="D10" s="8" t="s">
        <v>14</v>
      </c>
      <c r="E10" s="9">
        <v>501.54</v>
      </c>
      <c r="F10" s="8">
        <v>11.0</v>
      </c>
      <c r="G10" s="8">
        <v>0.05</v>
      </c>
      <c r="H10" s="10">
        <v>45401.0</v>
      </c>
      <c r="I10" s="11">
        <v>190.59</v>
      </c>
    </row>
    <row r="11">
      <c r="A11" s="8" t="s">
        <v>37</v>
      </c>
      <c r="B11" s="8" t="s">
        <v>38</v>
      </c>
      <c r="C11" s="8" t="s">
        <v>36</v>
      </c>
      <c r="D11" s="8" t="s">
        <v>17</v>
      </c>
      <c r="E11" s="9">
        <v>737.31</v>
      </c>
      <c r="F11" s="8">
        <v>2.0</v>
      </c>
      <c r="G11" s="8">
        <v>0.05</v>
      </c>
      <c r="H11" s="10">
        <v>45401.0</v>
      </c>
      <c r="I11" s="11">
        <v>350.22</v>
      </c>
    </row>
    <row r="12">
      <c r="A12" s="8" t="s">
        <v>39</v>
      </c>
      <c r="B12" s="8" t="s">
        <v>40</v>
      </c>
      <c r="C12" s="8" t="s">
        <v>13</v>
      </c>
      <c r="D12" s="8" t="s">
        <v>41</v>
      </c>
      <c r="E12" s="9">
        <v>1572.82</v>
      </c>
      <c r="F12" s="8">
        <v>6.0</v>
      </c>
      <c r="G12" s="8">
        <v>0.05</v>
      </c>
      <c r="H12" s="10">
        <v>45402.0</v>
      </c>
      <c r="I12" s="11">
        <v>672.38</v>
      </c>
    </row>
    <row r="13">
      <c r="A13" s="8" t="s">
        <v>39</v>
      </c>
      <c r="B13" s="8" t="s">
        <v>38</v>
      </c>
      <c r="C13" s="8" t="s">
        <v>36</v>
      </c>
      <c r="D13" s="8" t="s">
        <v>14</v>
      </c>
      <c r="E13" s="9">
        <v>1343.13</v>
      </c>
      <c r="F13" s="8">
        <v>14.0</v>
      </c>
      <c r="G13" s="8">
        <v>0.15</v>
      </c>
      <c r="H13" s="10">
        <v>45404.0</v>
      </c>
      <c r="I13" s="11">
        <v>456.66</v>
      </c>
    </row>
    <row r="14">
      <c r="A14" s="8" t="s">
        <v>27</v>
      </c>
      <c r="B14" s="8" t="s">
        <v>28</v>
      </c>
      <c r="C14" s="8" t="s">
        <v>36</v>
      </c>
      <c r="D14" s="8" t="s">
        <v>14</v>
      </c>
      <c r="E14" s="9">
        <v>1191.58</v>
      </c>
      <c r="F14" s="8">
        <v>14.0</v>
      </c>
      <c r="G14" s="8">
        <v>0.05</v>
      </c>
      <c r="H14" s="10">
        <v>45406.0</v>
      </c>
      <c r="I14" s="11">
        <v>452.8</v>
      </c>
    </row>
    <row r="15">
      <c r="A15" s="8" t="s">
        <v>42</v>
      </c>
      <c r="B15" s="8" t="s">
        <v>16</v>
      </c>
      <c r="C15" s="8" t="s">
        <v>13</v>
      </c>
      <c r="D15" s="8" t="s">
        <v>29</v>
      </c>
      <c r="E15" s="9">
        <v>822.28</v>
      </c>
      <c r="F15" s="8">
        <v>7.0</v>
      </c>
      <c r="G15" s="8">
        <v>0.05</v>
      </c>
      <c r="H15" s="10">
        <v>45406.0</v>
      </c>
      <c r="I15" s="11">
        <v>273.41</v>
      </c>
    </row>
    <row r="16">
      <c r="A16" s="8" t="s">
        <v>43</v>
      </c>
      <c r="B16" s="8" t="s">
        <v>44</v>
      </c>
      <c r="C16" s="8" t="s">
        <v>26</v>
      </c>
      <c r="D16" s="8" t="s">
        <v>29</v>
      </c>
      <c r="E16" s="9">
        <v>521.67</v>
      </c>
      <c r="F16" s="8">
        <v>15.0</v>
      </c>
      <c r="G16" s="8">
        <v>0.15</v>
      </c>
      <c r="H16" s="10">
        <v>45409.0</v>
      </c>
      <c r="I16" s="11">
        <v>155.2</v>
      </c>
    </row>
    <row r="17">
      <c r="A17" s="8" t="s">
        <v>21</v>
      </c>
      <c r="B17" s="8" t="s">
        <v>45</v>
      </c>
      <c r="C17" s="8" t="s">
        <v>22</v>
      </c>
      <c r="D17" s="8" t="s">
        <v>23</v>
      </c>
      <c r="E17" s="9">
        <v>1502.93</v>
      </c>
      <c r="F17" s="8">
        <v>14.0</v>
      </c>
      <c r="G17" s="8">
        <v>0.2</v>
      </c>
      <c r="H17" s="10">
        <v>45410.0</v>
      </c>
      <c r="I17" s="11">
        <v>300.59</v>
      </c>
    </row>
    <row r="18">
      <c r="A18" s="8" t="s">
        <v>46</v>
      </c>
      <c r="B18" s="8" t="s">
        <v>16</v>
      </c>
      <c r="C18" s="8" t="s">
        <v>22</v>
      </c>
      <c r="D18" s="8" t="s">
        <v>14</v>
      </c>
      <c r="E18" s="9">
        <v>877.58</v>
      </c>
      <c r="F18" s="8">
        <v>10.0</v>
      </c>
      <c r="G18" s="8">
        <v>0.15</v>
      </c>
      <c r="H18" s="10">
        <v>45411.0</v>
      </c>
      <c r="I18" s="11">
        <v>298.38</v>
      </c>
    </row>
    <row r="19">
      <c r="A19" s="8" t="s">
        <v>30</v>
      </c>
      <c r="B19" s="8" t="s">
        <v>47</v>
      </c>
      <c r="C19" s="8" t="s">
        <v>13</v>
      </c>
      <c r="D19" s="8" t="s">
        <v>14</v>
      </c>
      <c r="E19" s="9">
        <v>636.7</v>
      </c>
      <c r="F19" s="8">
        <v>4.0</v>
      </c>
      <c r="G19" s="8">
        <v>0.2</v>
      </c>
      <c r="H19" s="10">
        <v>45411.0</v>
      </c>
      <c r="I19" s="11">
        <v>203.74</v>
      </c>
    </row>
    <row r="20">
      <c r="A20" s="8" t="s">
        <v>48</v>
      </c>
      <c r="B20" s="8" t="s">
        <v>49</v>
      </c>
      <c r="C20" s="8" t="s">
        <v>13</v>
      </c>
      <c r="D20" s="8" t="s">
        <v>14</v>
      </c>
      <c r="E20" s="9">
        <v>1506.14</v>
      </c>
      <c r="F20" s="8">
        <v>13.0</v>
      </c>
      <c r="G20" s="8">
        <v>0.2</v>
      </c>
      <c r="H20" s="10">
        <v>45412.0</v>
      </c>
      <c r="I20" s="11">
        <v>481.96</v>
      </c>
    </row>
    <row r="21" ht="15.75" customHeight="1">
      <c r="A21" s="8" t="s">
        <v>32</v>
      </c>
      <c r="B21" s="8" t="s">
        <v>33</v>
      </c>
      <c r="C21" s="8" t="s">
        <v>36</v>
      </c>
      <c r="D21" s="8" t="s">
        <v>23</v>
      </c>
      <c r="E21" s="9">
        <v>645.02</v>
      </c>
      <c r="F21" s="8">
        <v>4.0</v>
      </c>
      <c r="G21" s="8">
        <v>0.0</v>
      </c>
      <c r="H21" s="10">
        <v>45414.0</v>
      </c>
      <c r="I21" s="11">
        <v>161.26</v>
      </c>
    </row>
    <row r="22" ht="15.75" customHeight="1">
      <c r="A22" s="8" t="s">
        <v>27</v>
      </c>
      <c r="B22" s="8" t="s">
        <v>50</v>
      </c>
      <c r="C22" s="8" t="s">
        <v>22</v>
      </c>
      <c r="D22" s="8" t="s">
        <v>17</v>
      </c>
      <c r="E22" s="9">
        <v>953.3</v>
      </c>
      <c r="F22" s="8">
        <v>11.0</v>
      </c>
      <c r="G22" s="8">
        <v>0.0</v>
      </c>
      <c r="H22" s="10">
        <v>45415.0</v>
      </c>
      <c r="I22" s="11">
        <v>476.65</v>
      </c>
    </row>
    <row r="23" ht="15.75" customHeight="1">
      <c r="A23" s="8" t="s">
        <v>51</v>
      </c>
      <c r="B23" s="8" t="s">
        <v>16</v>
      </c>
      <c r="C23" s="8" t="s">
        <v>26</v>
      </c>
      <c r="D23" s="8" t="s">
        <v>23</v>
      </c>
      <c r="E23" s="9">
        <v>388.56</v>
      </c>
      <c r="F23" s="8">
        <v>14.0</v>
      </c>
      <c r="G23" s="8">
        <v>0.15</v>
      </c>
      <c r="H23" s="10">
        <v>45416.0</v>
      </c>
      <c r="I23" s="11">
        <v>82.57</v>
      </c>
    </row>
    <row r="24" ht="15.75" customHeight="1">
      <c r="A24" s="8" t="s">
        <v>11</v>
      </c>
      <c r="B24" s="8" t="s">
        <v>33</v>
      </c>
      <c r="C24" s="8" t="s">
        <v>13</v>
      </c>
      <c r="D24" s="8" t="s">
        <v>14</v>
      </c>
      <c r="E24" s="9">
        <v>743.17</v>
      </c>
      <c r="F24" s="8">
        <v>9.0</v>
      </c>
      <c r="G24" s="8">
        <v>0.0</v>
      </c>
      <c r="H24" s="10">
        <v>45416.0</v>
      </c>
      <c r="I24" s="11">
        <v>297.27</v>
      </c>
    </row>
    <row r="25" ht="15.75" customHeight="1">
      <c r="A25" s="8" t="s">
        <v>42</v>
      </c>
      <c r="B25" s="8" t="s">
        <v>33</v>
      </c>
      <c r="C25" s="8" t="s">
        <v>36</v>
      </c>
      <c r="D25" s="8" t="s">
        <v>23</v>
      </c>
      <c r="E25" s="9">
        <v>706.37</v>
      </c>
      <c r="F25" s="8">
        <v>6.0</v>
      </c>
      <c r="G25" s="8">
        <v>0.0</v>
      </c>
      <c r="H25" s="10">
        <v>45416.0</v>
      </c>
      <c r="I25" s="11">
        <v>176.59</v>
      </c>
    </row>
    <row r="26" ht="15.75" customHeight="1">
      <c r="A26" s="8" t="s">
        <v>15</v>
      </c>
      <c r="B26" s="8" t="s">
        <v>33</v>
      </c>
      <c r="C26" s="8" t="s">
        <v>36</v>
      </c>
      <c r="D26" s="8" t="s">
        <v>41</v>
      </c>
      <c r="E26" s="9">
        <v>925.31</v>
      </c>
      <c r="F26" s="8">
        <v>8.0</v>
      </c>
      <c r="G26" s="8">
        <v>0.1</v>
      </c>
      <c r="H26" s="10">
        <v>45418.0</v>
      </c>
      <c r="I26" s="11">
        <v>374.75</v>
      </c>
    </row>
    <row r="27" ht="15.75" customHeight="1">
      <c r="A27" s="8" t="s">
        <v>37</v>
      </c>
      <c r="B27" s="8" t="s">
        <v>52</v>
      </c>
      <c r="C27" s="8" t="s">
        <v>22</v>
      </c>
      <c r="D27" s="8" t="s">
        <v>23</v>
      </c>
      <c r="E27" s="9">
        <v>1173.12</v>
      </c>
      <c r="F27" s="8">
        <v>18.0</v>
      </c>
      <c r="G27" s="8">
        <v>0.0</v>
      </c>
      <c r="H27" s="10">
        <v>45418.0</v>
      </c>
      <c r="I27" s="11">
        <v>293.28</v>
      </c>
    </row>
    <row r="28" ht="15.75" customHeight="1">
      <c r="A28" s="8" t="s">
        <v>24</v>
      </c>
      <c r="B28" s="8" t="s">
        <v>53</v>
      </c>
      <c r="C28" s="8" t="s">
        <v>26</v>
      </c>
      <c r="D28" s="8" t="s">
        <v>29</v>
      </c>
      <c r="E28" s="9">
        <v>675.54</v>
      </c>
      <c r="F28" s="8">
        <v>17.0</v>
      </c>
      <c r="G28" s="8">
        <v>0.0</v>
      </c>
      <c r="H28" s="10">
        <v>45420.0</v>
      </c>
      <c r="I28" s="11">
        <v>236.44</v>
      </c>
    </row>
    <row r="29" ht="15.75" customHeight="1">
      <c r="A29" s="8" t="s">
        <v>27</v>
      </c>
      <c r="B29" s="8" t="s">
        <v>16</v>
      </c>
      <c r="C29" s="8" t="s">
        <v>36</v>
      </c>
      <c r="D29" s="8" t="s">
        <v>14</v>
      </c>
      <c r="E29" s="9">
        <v>939.09</v>
      </c>
      <c r="F29" s="8">
        <v>2.0</v>
      </c>
      <c r="G29" s="8">
        <v>0.05</v>
      </c>
      <c r="H29" s="10">
        <v>45422.0</v>
      </c>
      <c r="I29" s="11">
        <v>356.85</v>
      </c>
    </row>
    <row r="30" ht="15.75" customHeight="1">
      <c r="A30" s="8" t="s">
        <v>54</v>
      </c>
      <c r="B30" s="8" t="s">
        <v>55</v>
      </c>
      <c r="C30" s="8" t="s">
        <v>20</v>
      </c>
      <c r="D30" s="8" t="s">
        <v>41</v>
      </c>
      <c r="E30" s="9">
        <v>983.34</v>
      </c>
      <c r="F30" s="8">
        <v>19.0</v>
      </c>
      <c r="G30" s="8">
        <v>0.1</v>
      </c>
      <c r="H30" s="10">
        <v>45426.0</v>
      </c>
      <c r="I30" s="11">
        <v>398.25</v>
      </c>
    </row>
    <row r="31" ht="15.75" customHeight="1">
      <c r="A31" s="8" t="s">
        <v>54</v>
      </c>
      <c r="B31" s="8" t="s">
        <v>25</v>
      </c>
      <c r="C31" s="8" t="s">
        <v>22</v>
      </c>
      <c r="D31" s="8" t="s">
        <v>23</v>
      </c>
      <c r="E31" s="9">
        <v>801.21</v>
      </c>
      <c r="F31" s="8">
        <v>3.0</v>
      </c>
      <c r="G31" s="8">
        <v>0.2</v>
      </c>
      <c r="H31" s="10">
        <v>45426.0</v>
      </c>
      <c r="I31" s="11">
        <v>160.24</v>
      </c>
    </row>
    <row r="32" ht="15.75" customHeight="1">
      <c r="A32" s="8" t="s">
        <v>56</v>
      </c>
      <c r="B32" s="8" t="s">
        <v>57</v>
      </c>
      <c r="C32" s="8" t="s">
        <v>26</v>
      </c>
      <c r="D32" s="8" t="s">
        <v>23</v>
      </c>
      <c r="E32" s="9">
        <v>1450.71</v>
      </c>
      <c r="F32" s="8">
        <v>5.0</v>
      </c>
      <c r="G32" s="8">
        <v>0.1</v>
      </c>
      <c r="H32" s="10">
        <v>45427.0</v>
      </c>
      <c r="I32" s="11">
        <v>326.41</v>
      </c>
    </row>
    <row r="33" ht="15.75" customHeight="1">
      <c r="A33" s="8" t="s">
        <v>51</v>
      </c>
      <c r="B33" s="8" t="s">
        <v>58</v>
      </c>
      <c r="C33" s="8" t="s">
        <v>36</v>
      </c>
      <c r="D33" s="8" t="s">
        <v>14</v>
      </c>
      <c r="E33" s="9">
        <v>1023.21</v>
      </c>
      <c r="F33" s="8">
        <v>18.0</v>
      </c>
      <c r="G33" s="8">
        <v>0.05</v>
      </c>
      <c r="H33" s="10">
        <v>45428.0</v>
      </c>
      <c r="I33" s="11">
        <v>388.82</v>
      </c>
    </row>
    <row r="34" ht="15.75" customHeight="1">
      <c r="A34" s="8" t="s">
        <v>30</v>
      </c>
      <c r="B34" s="8" t="s">
        <v>49</v>
      </c>
      <c r="C34" s="8" t="s">
        <v>13</v>
      </c>
      <c r="D34" s="8" t="s">
        <v>29</v>
      </c>
      <c r="E34" s="9">
        <v>853.72</v>
      </c>
      <c r="F34" s="8">
        <v>5.0</v>
      </c>
      <c r="G34" s="8">
        <v>0.15</v>
      </c>
      <c r="H34" s="10">
        <v>45428.0</v>
      </c>
      <c r="I34" s="11">
        <v>253.98</v>
      </c>
    </row>
    <row r="35" ht="15.75" customHeight="1">
      <c r="A35" s="8" t="s">
        <v>59</v>
      </c>
      <c r="B35" s="8" t="s">
        <v>45</v>
      </c>
      <c r="C35" s="8" t="s">
        <v>22</v>
      </c>
      <c r="D35" s="8" t="s">
        <v>23</v>
      </c>
      <c r="E35" s="9">
        <v>967.89</v>
      </c>
      <c r="F35" s="8">
        <v>10.0</v>
      </c>
      <c r="G35" s="8">
        <v>0.1</v>
      </c>
      <c r="H35" s="10">
        <v>45429.0</v>
      </c>
      <c r="I35" s="11">
        <v>217.78</v>
      </c>
    </row>
    <row r="36" ht="15.75" customHeight="1">
      <c r="A36" s="8" t="s">
        <v>60</v>
      </c>
      <c r="B36" s="8" t="s">
        <v>55</v>
      </c>
      <c r="C36" s="8" t="s">
        <v>26</v>
      </c>
      <c r="D36" s="8" t="s">
        <v>41</v>
      </c>
      <c r="E36" s="9">
        <v>1200.9</v>
      </c>
      <c r="F36" s="8">
        <v>14.0</v>
      </c>
      <c r="G36" s="8">
        <v>0.05</v>
      </c>
      <c r="H36" s="10">
        <v>45429.0</v>
      </c>
      <c r="I36" s="11">
        <v>513.38</v>
      </c>
    </row>
    <row r="37" ht="15.75" customHeight="1">
      <c r="A37" s="8" t="s">
        <v>15</v>
      </c>
      <c r="B37" s="8" t="s">
        <v>28</v>
      </c>
      <c r="C37" s="8" t="s">
        <v>13</v>
      </c>
      <c r="D37" s="8" t="s">
        <v>14</v>
      </c>
      <c r="E37" s="9">
        <v>472.38</v>
      </c>
      <c r="F37" s="8">
        <v>12.0</v>
      </c>
      <c r="G37" s="8">
        <v>0.2</v>
      </c>
      <c r="H37" s="10">
        <v>45429.0</v>
      </c>
      <c r="I37" s="11">
        <v>151.16</v>
      </c>
    </row>
    <row r="38" ht="15.75" customHeight="1">
      <c r="A38" s="8" t="s">
        <v>11</v>
      </c>
      <c r="B38" s="8" t="s">
        <v>57</v>
      </c>
      <c r="C38" s="8" t="s">
        <v>20</v>
      </c>
      <c r="D38" s="8" t="s">
        <v>41</v>
      </c>
      <c r="E38" s="9">
        <v>840.92</v>
      </c>
      <c r="F38" s="8">
        <v>9.0</v>
      </c>
      <c r="G38" s="8">
        <v>0.05</v>
      </c>
      <c r="H38" s="10">
        <v>45429.0</v>
      </c>
      <c r="I38" s="11">
        <v>359.49</v>
      </c>
    </row>
    <row r="39" ht="15.75" customHeight="1">
      <c r="A39" s="8" t="s">
        <v>54</v>
      </c>
      <c r="B39" s="8" t="s">
        <v>50</v>
      </c>
      <c r="C39" s="8" t="s">
        <v>36</v>
      </c>
      <c r="D39" s="8" t="s">
        <v>29</v>
      </c>
      <c r="E39" s="9">
        <v>1410.06</v>
      </c>
      <c r="F39" s="8">
        <v>11.0</v>
      </c>
      <c r="G39" s="8">
        <v>0.05</v>
      </c>
      <c r="H39" s="10">
        <v>45434.0</v>
      </c>
      <c r="I39" s="11">
        <v>468.84</v>
      </c>
    </row>
    <row r="40" ht="15.75" customHeight="1">
      <c r="A40" s="8" t="s">
        <v>46</v>
      </c>
      <c r="B40" s="8" t="s">
        <v>61</v>
      </c>
      <c r="C40" s="8" t="s">
        <v>36</v>
      </c>
      <c r="D40" s="8" t="s">
        <v>29</v>
      </c>
      <c r="E40" s="9">
        <v>773.09</v>
      </c>
      <c r="F40" s="8">
        <v>13.0</v>
      </c>
      <c r="G40" s="8">
        <v>0.15</v>
      </c>
      <c r="H40" s="10">
        <v>45434.0</v>
      </c>
      <c r="I40" s="11">
        <v>229.99</v>
      </c>
    </row>
    <row r="41" ht="15.75" customHeight="1">
      <c r="A41" s="8" t="s">
        <v>62</v>
      </c>
      <c r="B41" s="8" t="s">
        <v>63</v>
      </c>
      <c r="C41" s="8" t="s">
        <v>20</v>
      </c>
      <c r="D41" s="8" t="s">
        <v>14</v>
      </c>
      <c r="E41" s="9">
        <v>580.43</v>
      </c>
      <c r="F41" s="8">
        <v>19.0</v>
      </c>
      <c r="G41" s="8">
        <v>0.15</v>
      </c>
      <c r="H41" s="10">
        <v>45435.0</v>
      </c>
      <c r="I41" s="11">
        <v>197.35</v>
      </c>
    </row>
    <row r="42" ht="15.75" customHeight="1">
      <c r="A42" s="8" t="s">
        <v>21</v>
      </c>
      <c r="B42" s="8" t="s">
        <v>44</v>
      </c>
      <c r="C42" s="8" t="s">
        <v>22</v>
      </c>
      <c r="D42" s="8" t="s">
        <v>14</v>
      </c>
      <c r="E42" s="9">
        <v>1151.21</v>
      </c>
      <c r="F42" s="8">
        <v>15.0</v>
      </c>
      <c r="G42" s="8">
        <v>0.1</v>
      </c>
      <c r="H42" s="10">
        <v>45445.0</v>
      </c>
      <c r="I42" s="11">
        <v>414.44</v>
      </c>
    </row>
    <row r="43" ht="15.75" customHeight="1">
      <c r="A43" s="8" t="s">
        <v>54</v>
      </c>
      <c r="B43" s="8" t="s">
        <v>25</v>
      </c>
      <c r="C43" s="8" t="s">
        <v>36</v>
      </c>
      <c r="D43" s="8" t="s">
        <v>41</v>
      </c>
      <c r="E43" s="9">
        <v>1025.98</v>
      </c>
      <c r="F43" s="8">
        <v>5.0</v>
      </c>
      <c r="G43" s="8">
        <v>0.2</v>
      </c>
      <c r="H43" s="10">
        <v>45447.0</v>
      </c>
      <c r="I43" s="11">
        <v>369.35</v>
      </c>
    </row>
    <row r="44" ht="15.75" customHeight="1">
      <c r="A44" s="8" t="s">
        <v>42</v>
      </c>
      <c r="B44" s="8" t="s">
        <v>58</v>
      </c>
      <c r="C44" s="8" t="s">
        <v>20</v>
      </c>
      <c r="D44" s="8" t="s">
        <v>41</v>
      </c>
      <c r="E44" s="9">
        <v>556.42</v>
      </c>
      <c r="F44" s="8">
        <v>11.0</v>
      </c>
      <c r="G44" s="8">
        <v>0.15</v>
      </c>
      <c r="H44" s="10">
        <v>45447.0</v>
      </c>
      <c r="I44" s="11">
        <v>212.83</v>
      </c>
    </row>
    <row r="45" ht="15.75" customHeight="1">
      <c r="A45" s="8" t="s">
        <v>59</v>
      </c>
      <c r="B45" s="8" t="s">
        <v>25</v>
      </c>
      <c r="C45" s="8" t="s">
        <v>36</v>
      </c>
      <c r="D45" s="8" t="s">
        <v>14</v>
      </c>
      <c r="E45" s="9">
        <v>840.85</v>
      </c>
      <c r="F45" s="8">
        <v>19.0</v>
      </c>
      <c r="G45" s="8">
        <v>0.1</v>
      </c>
      <c r="H45" s="10">
        <v>45448.0</v>
      </c>
      <c r="I45" s="11">
        <v>302.71</v>
      </c>
    </row>
    <row r="46" ht="15.75" customHeight="1">
      <c r="A46" s="8" t="s">
        <v>32</v>
      </c>
      <c r="B46" s="8" t="s">
        <v>63</v>
      </c>
      <c r="C46" s="8" t="s">
        <v>26</v>
      </c>
      <c r="D46" s="8" t="s">
        <v>29</v>
      </c>
      <c r="E46" s="9">
        <v>1227.25</v>
      </c>
      <c r="F46" s="8">
        <v>12.0</v>
      </c>
      <c r="G46" s="8">
        <v>0.15</v>
      </c>
      <c r="H46" s="10">
        <v>45448.0</v>
      </c>
      <c r="I46" s="11">
        <v>365.11</v>
      </c>
    </row>
    <row r="47" ht="15.75" customHeight="1">
      <c r="A47" s="8" t="s">
        <v>18</v>
      </c>
      <c r="B47" s="8" t="s">
        <v>64</v>
      </c>
      <c r="C47" s="8" t="s">
        <v>36</v>
      </c>
      <c r="D47" s="8" t="s">
        <v>23</v>
      </c>
      <c r="E47" s="9">
        <v>856.7</v>
      </c>
      <c r="F47" s="8">
        <v>2.0</v>
      </c>
      <c r="G47" s="8">
        <v>0.0</v>
      </c>
      <c r="H47" s="10">
        <v>45449.0</v>
      </c>
      <c r="I47" s="11">
        <v>214.18</v>
      </c>
    </row>
    <row r="48" ht="15.75" customHeight="1">
      <c r="A48" s="8" t="s">
        <v>56</v>
      </c>
      <c r="B48" s="8" t="s">
        <v>58</v>
      </c>
      <c r="C48" s="8" t="s">
        <v>36</v>
      </c>
      <c r="D48" s="8" t="s">
        <v>41</v>
      </c>
      <c r="E48" s="9">
        <v>1225.42</v>
      </c>
      <c r="F48" s="8">
        <v>8.0</v>
      </c>
      <c r="G48" s="8">
        <v>0.15</v>
      </c>
      <c r="H48" s="10">
        <v>45449.0</v>
      </c>
      <c r="I48" s="11">
        <v>468.72</v>
      </c>
    </row>
    <row r="49" ht="15.75" customHeight="1">
      <c r="A49" s="8" t="s">
        <v>65</v>
      </c>
      <c r="B49" s="8" t="s">
        <v>33</v>
      </c>
      <c r="C49" s="8" t="s">
        <v>26</v>
      </c>
      <c r="D49" s="8" t="s">
        <v>41</v>
      </c>
      <c r="E49" s="9">
        <v>1001.57</v>
      </c>
      <c r="F49" s="8">
        <v>12.0</v>
      </c>
      <c r="G49" s="8">
        <v>0.0</v>
      </c>
      <c r="H49" s="10">
        <v>45450.0</v>
      </c>
      <c r="I49" s="11">
        <v>450.71</v>
      </c>
    </row>
    <row r="50" ht="15.75" customHeight="1">
      <c r="A50" s="8" t="s">
        <v>59</v>
      </c>
      <c r="B50" s="8" t="s">
        <v>28</v>
      </c>
      <c r="C50" s="8" t="s">
        <v>20</v>
      </c>
      <c r="D50" s="8" t="s">
        <v>29</v>
      </c>
      <c r="E50" s="9">
        <v>1186.85</v>
      </c>
      <c r="F50" s="8">
        <v>19.0</v>
      </c>
      <c r="G50" s="8">
        <v>0.2</v>
      </c>
      <c r="H50" s="10">
        <v>45451.0</v>
      </c>
      <c r="I50" s="11">
        <v>332.32</v>
      </c>
    </row>
    <row r="51" ht="15.75" customHeight="1">
      <c r="A51" s="8" t="s">
        <v>46</v>
      </c>
      <c r="B51" s="8" t="s">
        <v>53</v>
      </c>
      <c r="C51" s="8" t="s">
        <v>22</v>
      </c>
      <c r="D51" s="8" t="s">
        <v>23</v>
      </c>
      <c r="E51" s="9">
        <v>775.45</v>
      </c>
      <c r="F51" s="8">
        <v>6.0</v>
      </c>
      <c r="G51" s="8">
        <v>0.1</v>
      </c>
      <c r="H51" s="10">
        <v>45457.0</v>
      </c>
      <c r="I51" s="11">
        <v>174.48</v>
      </c>
    </row>
    <row r="52" ht="15.75" customHeight="1">
      <c r="A52" s="8" t="s">
        <v>27</v>
      </c>
      <c r="B52" s="8" t="s">
        <v>35</v>
      </c>
      <c r="C52" s="8" t="s">
        <v>22</v>
      </c>
      <c r="D52" s="8" t="s">
        <v>23</v>
      </c>
      <c r="E52" s="9">
        <v>1021.47</v>
      </c>
      <c r="F52" s="8">
        <v>6.0</v>
      </c>
      <c r="G52" s="8">
        <v>0.05</v>
      </c>
      <c r="H52" s="10">
        <v>45461.0</v>
      </c>
      <c r="I52" s="11">
        <v>242.6</v>
      </c>
    </row>
    <row r="53" ht="15.75" customHeight="1">
      <c r="A53" s="8" t="s">
        <v>60</v>
      </c>
      <c r="B53" s="8" t="s">
        <v>25</v>
      </c>
      <c r="C53" s="8" t="s">
        <v>22</v>
      </c>
      <c r="D53" s="8" t="s">
        <v>17</v>
      </c>
      <c r="E53" s="9">
        <v>1226.62</v>
      </c>
      <c r="F53" s="8">
        <v>7.0</v>
      </c>
      <c r="G53" s="8">
        <v>0.1</v>
      </c>
      <c r="H53" s="10">
        <v>45463.0</v>
      </c>
      <c r="I53" s="11">
        <v>551.98</v>
      </c>
    </row>
    <row r="54" ht="15.75" customHeight="1">
      <c r="A54" s="8" t="s">
        <v>24</v>
      </c>
      <c r="B54" s="8" t="s">
        <v>66</v>
      </c>
      <c r="C54" s="8" t="s">
        <v>22</v>
      </c>
      <c r="D54" s="8" t="s">
        <v>29</v>
      </c>
      <c r="E54" s="9">
        <v>1086.93</v>
      </c>
      <c r="F54" s="8">
        <v>2.0</v>
      </c>
      <c r="G54" s="8">
        <v>0.0</v>
      </c>
      <c r="H54" s="10">
        <v>45464.0</v>
      </c>
      <c r="I54" s="11">
        <v>380.43</v>
      </c>
    </row>
    <row r="55" ht="15.75" customHeight="1">
      <c r="A55" s="8" t="s">
        <v>67</v>
      </c>
      <c r="B55" s="8" t="s">
        <v>50</v>
      </c>
      <c r="C55" s="8" t="s">
        <v>13</v>
      </c>
      <c r="D55" s="8" t="s">
        <v>14</v>
      </c>
      <c r="E55" s="9">
        <v>942.9</v>
      </c>
      <c r="F55" s="8">
        <v>18.0</v>
      </c>
      <c r="G55" s="8">
        <v>0.1</v>
      </c>
      <c r="H55" s="10">
        <v>45466.0</v>
      </c>
      <c r="I55" s="11">
        <v>339.44</v>
      </c>
    </row>
    <row r="56" ht="15.75" customHeight="1">
      <c r="A56" s="8" t="s">
        <v>34</v>
      </c>
      <c r="B56" s="8" t="s">
        <v>40</v>
      </c>
      <c r="C56" s="8" t="s">
        <v>26</v>
      </c>
      <c r="D56" s="8" t="s">
        <v>23</v>
      </c>
      <c r="E56" s="9">
        <v>818.8</v>
      </c>
      <c r="F56" s="8">
        <v>15.0</v>
      </c>
      <c r="G56" s="8">
        <v>0.15</v>
      </c>
      <c r="H56" s="10">
        <v>45468.0</v>
      </c>
      <c r="I56" s="11">
        <v>173.99</v>
      </c>
    </row>
    <row r="57" ht="15.75" customHeight="1">
      <c r="A57" s="8" t="s">
        <v>21</v>
      </c>
      <c r="B57" s="8" t="s">
        <v>16</v>
      </c>
      <c r="C57" s="8" t="s">
        <v>22</v>
      </c>
      <c r="D57" s="8" t="s">
        <v>29</v>
      </c>
      <c r="E57" s="9">
        <v>919.04</v>
      </c>
      <c r="F57" s="8">
        <v>10.0</v>
      </c>
      <c r="G57" s="8">
        <v>0.2</v>
      </c>
      <c r="H57" s="10">
        <v>45468.0</v>
      </c>
      <c r="I57" s="11">
        <v>257.33</v>
      </c>
    </row>
    <row r="58" ht="15.75" customHeight="1">
      <c r="A58" s="8" t="s">
        <v>24</v>
      </c>
      <c r="B58" s="8" t="s">
        <v>68</v>
      </c>
      <c r="C58" s="8" t="s">
        <v>36</v>
      </c>
      <c r="D58" s="8" t="s">
        <v>14</v>
      </c>
      <c r="E58" s="9">
        <v>973.26</v>
      </c>
      <c r="F58" s="8">
        <v>11.0</v>
      </c>
      <c r="G58" s="8">
        <v>0.0</v>
      </c>
      <c r="H58" s="10">
        <v>45470.0</v>
      </c>
      <c r="I58" s="11">
        <v>389.3</v>
      </c>
    </row>
    <row r="59" ht="15.75" customHeight="1">
      <c r="A59" s="8" t="s">
        <v>43</v>
      </c>
      <c r="B59" s="8" t="s">
        <v>66</v>
      </c>
      <c r="C59" s="8" t="s">
        <v>26</v>
      </c>
      <c r="D59" s="8" t="s">
        <v>23</v>
      </c>
      <c r="E59" s="9">
        <v>741.61</v>
      </c>
      <c r="F59" s="8">
        <v>1.0</v>
      </c>
      <c r="G59" s="8">
        <v>0.2</v>
      </c>
      <c r="H59" s="10">
        <v>45471.0</v>
      </c>
      <c r="I59" s="11">
        <v>148.32</v>
      </c>
    </row>
    <row r="60" ht="15.75" customHeight="1">
      <c r="A60" s="8" t="s">
        <v>69</v>
      </c>
      <c r="B60" s="8" t="s">
        <v>40</v>
      </c>
      <c r="C60" s="8" t="s">
        <v>26</v>
      </c>
      <c r="D60" s="8" t="s">
        <v>14</v>
      </c>
      <c r="E60" s="9">
        <v>1248.82</v>
      </c>
      <c r="F60" s="8">
        <v>2.0</v>
      </c>
      <c r="G60" s="8">
        <v>0.1</v>
      </c>
      <c r="H60" s="10">
        <v>45473.0</v>
      </c>
      <c r="I60" s="11">
        <v>449.58</v>
      </c>
    </row>
    <row r="61" ht="15.75" customHeight="1">
      <c r="A61" s="8" t="s">
        <v>15</v>
      </c>
      <c r="B61" s="8" t="s">
        <v>61</v>
      </c>
      <c r="C61" s="8" t="s">
        <v>13</v>
      </c>
      <c r="D61" s="8" t="s">
        <v>17</v>
      </c>
      <c r="E61" s="9">
        <v>1360.36</v>
      </c>
      <c r="F61" s="8">
        <v>17.0</v>
      </c>
      <c r="G61" s="8">
        <v>0.0</v>
      </c>
      <c r="H61" s="10">
        <v>45473.0</v>
      </c>
      <c r="I61" s="11">
        <v>680.18</v>
      </c>
    </row>
    <row r="62" ht="15.75" customHeight="1">
      <c r="A62" s="8" t="s">
        <v>59</v>
      </c>
      <c r="B62" s="8" t="s">
        <v>33</v>
      </c>
      <c r="C62" s="8" t="s">
        <v>20</v>
      </c>
      <c r="D62" s="8" t="s">
        <v>14</v>
      </c>
      <c r="E62" s="9">
        <v>1383.3</v>
      </c>
      <c r="F62" s="8">
        <v>8.0</v>
      </c>
      <c r="G62" s="8">
        <v>0.1</v>
      </c>
      <c r="H62" s="10">
        <v>45478.0</v>
      </c>
      <c r="I62" s="11">
        <v>497.99</v>
      </c>
    </row>
    <row r="63" ht="15.75" customHeight="1">
      <c r="A63" s="8" t="s">
        <v>37</v>
      </c>
      <c r="B63" s="8" t="s">
        <v>57</v>
      </c>
      <c r="C63" s="8" t="s">
        <v>36</v>
      </c>
      <c r="D63" s="8" t="s">
        <v>41</v>
      </c>
      <c r="E63" s="9">
        <v>488.99</v>
      </c>
      <c r="F63" s="8">
        <v>9.0</v>
      </c>
      <c r="G63" s="8">
        <v>0.0</v>
      </c>
      <c r="H63" s="10">
        <v>45479.0</v>
      </c>
      <c r="I63" s="11">
        <v>220.05</v>
      </c>
    </row>
    <row r="64" ht="15.75" customHeight="1">
      <c r="A64" s="8" t="s">
        <v>32</v>
      </c>
      <c r="B64" s="8" t="s">
        <v>33</v>
      </c>
      <c r="C64" s="8" t="s">
        <v>20</v>
      </c>
      <c r="D64" s="8" t="s">
        <v>29</v>
      </c>
      <c r="E64" s="9">
        <v>933.71</v>
      </c>
      <c r="F64" s="8">
        <v>17.0</v>
      </c>
      <c r="G64" s="8">
        <v>0.1</v>
      </c>
      <c r="H64" s="10">
        <v>45481.0</v>
      </c>
      <c r="I64" s="11">
        <v>294.12</v>
      </c>
    </row>
    <row r="65" ht="15.75" customHeight="1">
      <c r="A65" s="8" t="s">
        <v>69</v>
      </c>
      <c r="B65" s="8" t="s">
        <v>12</v>
      </c>
      <c r="C65" s="8" t="s">
        <v>13</v>
      </c>
      <c r="D65" s="8" t="s">
        <v>23</v>
      </c>
      <c r="E65" s="9">
        <v>1005.53</v>
      </c>
      <c r="F65" s="8">
        <v>17.0</v>
      </c>
      <c r="G65" s="8">
        <v>0.2</v>
      </c>
      <c r="H65" s="10">
        <v>45481.0</v>
      </c>
      <c r="I65" s="11">
        <v>201.11</v>
      </c>
    </row>
    <row r="66" ht="15.75" customHeight="1">
      <c r="A66" s="8" t="s">
        <v>43</v>
      </c>
      <c r="B66" s="8" t="s">
        <v>63</v>
      </c>
      <c r="C66" s="8" t="s">
        <v>22</v>
      </c>
      <c r="D66" s="8" t="s">
        <v>23</v>
      </c>
      <c r="E66" s="9">
        <v>1100.1</v>
      </c>
      <c r="F66" s="8">
        <v>5.0</v>
      </c>
      <c r="G66" s="8">
        <v>0.05</v>
      </c>
      <c r="H66" s="10">
        <v>45482.0</v>
      </c>
      <c r="I66" s="11">
        <v>261.27</v>
      </c>
    </row>
    <row r="67" ht="15.75" customHeight="1">
      <c r="A67" s="8" t="s">
        <v>69</v>
      </c>
      <c r="B67" s="8" t="s">
        <v>25</v>
      </c>
      <c r="C67" s="8" t="s">
        <v>26</v>
      </c>
      <c r="D67" s="8" t="s">
        <v>29</v>
      </c>
      <c r="E67" s="9">
        <v>1034.7</v>
      </c>
      <c r="F67" s="8">
        <v>15.0</v>
      </c>
      <c r="G67" s="8">
        <v>0.15</v>
      </c>
      <c r="H67" s="10">
        <v>45487.0</v>
      </c>
      <c r="I67" s="11">
        <v>307.82</v>
      </c>
    </row>
    <row r="68" ht="15.75" customHeight="1">
      <c r="A68" s="8" t="s">
        <v>67</v>
      </c>
      <c r="B68" s="8" t="s">
        <v>33</v>
      </c>
      <c r="C68" s="8" t="s">
        <v>22</v>
      </c>
      <c r="D68" s="8" t="s">
        <v>14</v>
      </c>
      <c r="E68" s="9">
        <v>876.44</v>
      </c>
      <c r="F68" s="8">
        <v>12.0</v>
      </c>
      <c r="G68" s="8">
        <v>0.05</v>
      </c>
      <c r="H68" s="10">
        <v>45488.0</v>
      </c>
      <c r="I68" s="11">
        <v>333.05</v>
      </c>
    </row>
    <row r="69" ht="15.75" customHeight="1">
      <c r="A69" s="8" t="s">
        <v>70</v>
      </c>
      <c r="B69" s="8" t="s">
        <v>57</v>
      </c>
      <c r="C69" s="8" t="s">
        <v>13</v>
      </c>
      <c r="D69" s="8" t="s">
        <v>29</v>
      </c>
      <c r="E69" s="9">
        <v>1371.34</v>
      </c>
      <c r="F69" s="8">
        <v>5.0</v>
      </c>
      <c r="G69" s="8">
        <v>0.05</v>
      </c>
      <c r="H69" s="10">
        <v>45488.0</v>
      </c>
      <c r="I69" s="11">
        <v>455.97</v>
      </c>
    </row>
    <row r="70" ht="15.75" customHeight="1">
      <c r="A70" s="8" t="s">
        <v>59</v>
      </c>
      <c r="B70" s="8" t="s">
        <v>49</v>
      </c>
      <c r="C70" s="8" t="s">
        <v>26</v>
      </c>
      <c r="D70" s="8" t="s">
        <v>23</v>
      </c>
      <c r="E70" s="9">
        <v>1020.26</v>
      </c>
      <c r="F70" s="8">
        <v>11.0</v>
      </c>
      <c r="G70" s="8">
        <v>0.05</v>
      </c>
      <c r="H70" s="10">
        <v>45494.0</v>
      </c>
      <c r="I70" s="11">
        <v>242.31</v>
      </c>
    </row>
    <row r="71" ht="15.75" customHeight="1">
      <c r="A71" s="8" t="s">
        <v>46</v>
      </c>
      <c r="B71" s="8" t="s">
        <v>12</v>
      </c>
      <c r="C71" s="8" t="s">
        <v>36</v>
      </c>
      <c r="D71" s="8" t="s">
        <v>41</v>
      </c>
      <c r="E71" s="9">
        <v>804.81</v>
      </c>
      <c r="F71" s="8">
        <v>1.0</v>
      </c>
      <c r="G71" s="8">
        <v>0.05</v>
      </c>
      <c r="H71" s="10">
        <v>45502.0</v>
      </c>
      <c r="I71" s="11">
        <v>344.06</v>
      </c>
    </row>
    <row r="72" ht="15.75" customHeight="1">
      <c r="A72" s="8" t="s">
        <v>24</v>
      </c>
      <c r="B72" s="8" t="s">
        <v>57</v>
      </c>
      <c r="C72" s="8" t="s">
        <v>36</v>
      </c>
      <c r="D72" s="8" t="s">
        <v>23</v>
      </c>
      <c r="E72" s="9">
        <v>608.66</v>
      </c>
      <c r="F72" s="8">
        <v>1.0</v>
      </c>
      <c r="G72" s="8">
        <v>0.05</v>
      </c>
      <c r="H72" s="10">
        <v>45503.0</v>
      </c>
      <c r="I72" s="11">
        <v>144.56</v>
      </c>
    </row>
    <row r="73" ht="15.75" customHeight="1">
      <c r="A73" s="8" t="s">
        <v>70</v>
      </c>
      <c r="B73" s="8" t="s">
        <v>71</v>
      </c>
      <c r="C73" s="8" t="s">
        <v>22</v>
      </c>
      <c r="D73" s="8" t="s">
        <v>41</v>
      </c>
      <c r="E73" s="9">
        <v>981.2</v>
      </c>
      <c r="F73" s="8">
        <v>19.0</v>
      </c>
      <c r="G73" s="8">
        <v>0.0</v>
      </c>
      <c r="H73" s="10">
        <v>45504.0</v>
      </c>
      <c r="I73" s="11">
        <v>441.54</v>
      </c>
    </row>
    <row r="74" ht="15.75" customHeight="1">
      <c r="A74" s="8" t="s">
        <v>72</v>
      </c>
      <c r="B74" s="8" t="s">
        <v>57</v>
      </c>
      <c r="C74" s="8" t="s">
        <v>20</v>
      </c>
      <c r="D74" s="8" t="s">
        <v>23</v>
      </c>
      <c r="E74" s="9">
        <v>539.77</v>
      </c>
      <c r="F74" s="8">
        <v>10.0</v>
      </c>
      <c r="G74" s="8">
        <v>0.15</v>
      </c>
      <c r="H74" s="10">
        <v>45509.0</v>
      </c>
      <c r="I74" s="11">
        <v>114.7</v>
      </c>
    </row>
    <row r="75" ht="15.75" customHeight="1">
      <c r="A75" s="8" t="s">
        <v>15</v>
      </c>
      <c r="B75" s="8" t="s">
        <v>73</v>
      </c>
      <c r="C75" s="8" t="s">
        <v>22</v>
      </c>
      <c r="D75" s="8" t="s">
        <v>14</v>
      </c>
      <c r="E75" s="9">
        <v>804.45</v>
      </c>
      <c r="F75" s="8">
        <v>5.0</v>
      </c>
      <c r="G75" s="8">
        <v>0.2</v>
      </c>
      <c r="H75" s="10">
        <v>45509.0</v>
      </c>
      <c r="I75" s="11">
        <v>257.42</v>
      </c>
    </row>
    <row r="76" ht="15.75" customHeight="1">
      <c r="A76" s="8" t="s">
        <v>72</v>
      </c>
      <c r="B76" s="8" t="s">
        <v>40</v>
      </c>
      <c r="C76" s="8" t="s">
        <v>13</v>
      </c>
      <c r="D76" s="8" t="s">
        <v>23</v>
      </c>
      <c r="E76" s="9">
        <v>1526.6</v>
      </c>
      <c r="F76" s="8">
        <v>13.0</v>
      </c>
      <c r="G76" s="8">
        <v>0.2</v>
      </c>
      <c r="H76" s="10">
        <v>45512.0</v>
      </c>
      <c r="I76" s="11">
        <v>305.32</v>
      </c>
    </row>
    <row r="77" ht="15.75" customHeight="1">
      <c r="A77" s="8" t="s">
        <v>15</v>
      </c>
      <c r="B77" s="8" t="s">
        <v>31</v>
      </c>
      <c r="C77" s="8" t="s">
        <v>13</v>
      </c>
      <c r="D77" s="8" t="s">
        <v>23</v>
      </c>
      <c r="E77" s="9">
        <v>1215.26</v>
      </c>
      <c r="F77" s="8">
        <v>5.0</v>
      </c>
      <c r="G77" s="8">
        <v>0.15</v>
      </c>
      <c r="H77" s="10">
        <v>45513.0</v>
      </c>
      <c r="I77" s="11">
        <v>258.24</v>
      </c>
    </row>
    <row r="78" ht="15.75" customHeight="1">
      <c r="A78" s="8" t="s">
        <v>21</v>
      </c>
      <c r="B78" s="8" t="s">
        <v>55</v>
      </c>
      <c r="C78" s="8" t="s">
        <v>36</v>
      </c>
      <c r="D78" s="8" t="s">
        <v>29</v>
      </c>
      <c r="E78" s="9">
        <v>1261.34</v>
      </c>
      <c r="F78" s="8">
        <v>3.0</v>
      </c>
      <c r="G78" s="8">
        <v>0.0</v>
      </c>
      <c r="H78" s="10">
        <v>45519.0</v>
      </c>
      <c r="I78" s="11">
        <v>441.47</v>
      </c>
    </row>
    <row r="79" ht="15.75" customHeight="1">
      <c r="A79" s="8" t="s">
        <v>74</v>
      </c>
      <c r="B79" s="8" t="s">
        <v>47</v>
      </c>
      <c r="C79" s="8" t="s">
        <v>26</v>
      </c>
      <c r="D79" s="8" t="s">
        <v>29</v>
      </c>
      <c r="E79" s="9">
        <v>518.07</v>
      </c>
      <c r="F79" s="8">
        <v>7.0</v>
      </c>
      <c r="G79" s="8">
        <v>0.05</v>
      </c>
      <c r="H79" s="10">
        <v>45522.0</v>
      </c>
      <c r="I79" s="11">
        <v>172.26</v>
      </c>
    </row>
    <row r="80" ht="15.75" customHeight="1">
      <c r="A80" s="8" t="s">
        <v>32</v>
      </c>
      <c r="B80" s="8" t="s">
        <v>31</v>
      </c>
      <c r="C80" s="8" t="s">
        <v>13</v>
      </c>
      <c r="D80" s="8" t="s">
        <v>41</v>
      </c>
      <c r="E80" s="9">
        <v>1111.34</v>
      </c>
      <c r="F80" s="8">
        <v>1.0</v>
      </c>
      <c r="G80" s="8">
        <v>0.0</v>
      </c>
      <c r="H80" s="10">
        <v>45523.0</v>
      </c>
      <c r="I80" s="11">
        <v>500.1</v>
      </c>
    </row>
    <row r="81" ht="15.75" customHeight="1">
      <c r="A81" s="8" t="s">
        <v>24</v>
      </c>
      <c r="B81" s="8" t="s">
        <v>33</v>
      </c>
      <c r="C81" s="8" t="s">
        <v>20</v>
      </c>
      <c r="D81" s="8" t="s">
        <v>17</v>
      </c>
      <c r="E81" s="9">
        <v>1291.47</v>
      </c>
      <c r="F81" s="8">
        <v>18.0</v>
      </c>
      <c r="G81" s="8">
        <v>0.1</v>
      </c>
      <c r="H81" s="10">
        <v>45526.0</v>
      </c>
      <c r="I81" s="11">
        <v>581.16</v>
      </c>
    </row>
    <row r="82" ht="15.75" customHeight="1">
      <c r="A82" s="8" t="s">
        <v>27</v>
      </c>
      <c r="B82" s="8" t="s">
        <v>57</v>
      </c>
      <c r="C82" s="8" t="s">
        <v>26</v>
      </c>
      <c r="D82" s="8" t="s">
        <v>14</v>
      </c>
      <c r="E82" s="9">
        <v>679.71</v>
      </c>
      <c r="F82" s="8">
        <v>19.0</v>
      </c>
      <c r="G82" s="8">
        <v>0.0</v>
      </c>
      <c r="H82" s="10">
        <v>45534.0</v>
      </c>
      <c r="I82" s="11">
        <v>271.88</v>
      </c>
    </row>
    <row r="83" ht="15.75" customHeight="1">
      <c r="A83" s="8" t="s">
        <v>70</v>
      </c>
      <c r="B83" s="8" t="s">
        <v>35</v>
      </c>
      <c r="C83" s="8" t="s">
        <v>20</v>
      </c>
      <c r="D83" s="8" t="s">
        <v>29</v>
      </c>
      <c r="E83" s="9">
        <v>1143.69</v>
      </c>
      <c r="F83" s="8">
        <v>17.0</v>
      </c>
      <c r="G83" s="8">
        <v>0.0</v>
      </c>
      <c r="H83" s="10">
        <v>45534.0</v>
      </c>
      <c r="I83" s="11">
        <v>400.29</v>
      </c>
    </row>
    <row r="84" ht="15.75" customHeight="1">
      <c r="A84" s="8" t="s">
        <v>54</v>
      </c>
      <c r="B84" s="8" t="s">
        <v>52</v>
      </c>
      <c r="C84" s="8" t="s">
        <v>36</v>
      </c>
      <c r="D84" s="8" t="s">
        <v>23</v>
      </c>
      <c r="E84" s="9">
        <v>790.08</v>
      </c>
      <c r="F84" s="8">
        <v>7.0</v>
      </c>
      <c r="G84" s="8">
        <v>0.1</v>
      </c>
      <c r="H84" s="10">
        <v>45536.0</v>
      </c>
      <c r="I84" s="11">
        <v>177.77</v>
      </c>
    </row>
    <row r="85" ht="15.75" customHeight="1">
      <c r="A85" s="8" t="s">
        <v>21</v>
      </c>
      <c r="B85" s="8" t="s">
        <v>50</v>
      </c>
      <c r="C85" s="8" t="s">
        <v>36</v>
      </c>
      <c r="D85" s="8" t="s">
        <v>14</v>
      </c>
      <c r="E85" s="9">
        <v>1070.68</v>
      </c>
      <c r="F85" s="8">
        <v>7.0</v>
      </c>
      <c r="G85" s="8">
        <v>0.05</v>
      </c>
      <c r="H85" s="10">
        <v>45536.0</v>
      </c>
      <c r="I85" s="11">
        <v>406.86</v>
      </c>
    </row>
    <row r="86" ht="15.75" customHeight="1">
      <c r="A86" s="8" t="s">
        <v>60</v>
      </c>
      <c r="B86" s="8" t="s">
        <v>38</v>
      </c>
      <c r="C86" s="8" t="s">
        <v>13</v>
      </c>
      <c r="D86" s="8" t="s">
        <v>17</v>
      </c>
      <c r="E86" s="9">
        <v>1168.89</v>
      </c>
      <c r="F86" s="8">
        <v>4.0</v>
      </c>
      <c r="G86" s="8">
        <v>0.1</v>
      </c>
      <c r="H86" s="10">
        <v>45544.0</v>
      </c>
      <c r="I86" s="11">
        <v>526.0</v>
      </c>
    </row>
    <row r="87" ht="15.75" customHeight="1">
      <c r="A87" s="8" t="s">
        <v>69</v>
      </c>
      <c r="B87" s="8" t="s">
        <v>12</v>
      </c>
      <c r="C87" s="8" t="s">
        <v>22</v>
      </c>
      <c r="D87" s="8" t="s">
        <v>23</v>
      </c>
      <c r="E87" s="9">
        <v>1335.87</v>
      </c>
      <c r="F87" s="8">
        <v>17.0</v>
      </c>
      <c r="G87" s="8">
        <v>0.0</v>
      </c>
      <c r="H87" s="10">
        <v>45544.0</v>
      </c>
      <c r="I87" s="11">
        <v>333.97</v>
      </c>
    </row>
    <row r="88" ht="15.75" customHeight="1">
      <c r="A88" s="8" t="s">
        <v>42</v>
      </c>
      <c r="B88" s="8" t="s">
        <v>57</v>
      </c>
      <c r="C88" s="8" t="s">
        <v>20</v>
      </c>
      <c r="D88" s="8" t="s">
        <v>29</v>
      </c>
      <c r="E88" s="9">
        <v>873.7</v>
      </c>
      <c r="F88" s="8">
        <v>9.0</v>
      </c>
      <c r="G88" s="8">
        <v>0.0</v>
      </c>
      <c r="H88" s="10">
        <v>45546.0</v>
      </c>
      <c r="I88" s="11">
        <v>305.8</v>
      </c>
    </row>
    <row r="89" ht="15.75" customHeight="1">
      <c r="A89" s="8" t="s">
        <v>74</v>
      </c>
      <c r="B89" s="8" t="s">
        <v>66</v>
      </c>
      <c r="C89" s="8" t="s">
        <v>13</v>
      </c>
      <c r="D89" s="8" t="s">
        <v>41</v>
      </c>
      <c r="E89" s="9">
        <v>1443.98</v>
      </c>
      <c r="F89" s="8">
        <v>19.0</v>
      </c>
      <c r="G89" s="8">
        <v>0.0</v>
      </c>
      <c r="H89" s="10">
        <v>45547.0</v>
      </c>
      <c r="I89" s="11">
        <v>649.79</v>
      </c>
    </row>
    <row r="90" ht="15.75" customHeight="1">
      <c r="A90" s="8" t="s">
        <v>42</v>
      </c>
      <c r="B90" s="8" t="s">
        <v>25</v>
      </c>
      <c r="C90" s="8" t="s">
        <v>20</v>
      </c>
      <c r="D90" s="8" t="s">
        <v>41</v>
      </c>
      <c r="E90" s="9">
        <v>1154.33</v>
      </c>
      <c r="F90" s="8">
        <v>11.0</v>
      </c>
      <c r="G90" s="8">
        <v>0.15</v>
      </c>
      <c r="H90" s="10">
        <v>45549.0</v>
      </c>
      <c r="I90" s="11">
        <v>441.53</v>
      </c>
    </row>
    <row r="91" ht="15.75" customHeight="1">
      <c r="A91" s="8" t="s">
        <v>51</v>
      </c>
      <c r="B91" s="8" t="s">
        <v>52</v>
      </c>
      <c r="C91" s="8" t="s">
        <v>22</v>
      </c>
      <c r="D91" s="8" t="s">
        <v>14</v>
      </c>
      <c r="E91" s="9">
        <v>1264.49</v>
      </c>
      <c r="F91" s="8">
        <v>16.0</v>
      </c>
      <c r="G91" s="8">
        <v>0.05</v>
      </c>
      <c r="H91" s="10">
        <v>45549.0</v>
      </c>
      <c r="I91" s="11">
        <v>480.51</v>
      </c>
    </row>
    <row r="92" ht="15.75" customHeight="1">
      <c r="A92" s="8" t="s">
        <v>27</v>
      </c>
      <c r="B92" s="8" t="s">
        <v>68</v>
      </c>
      <c r="C92" s="8" t="s">
        <v>13</v>
      </c>
      <c r="D92" s="8" t="s">
        <v>29</v>
      </c>
      <c r="E92" s="9">
        <v>1101.55</v>
      </c>
      <c r="F92" s="8">
        <v>4.0</v>
      </c>
      <c r="G92" s="8">
        <v>0.1</v>
      </c>
      <c r="H92" s="10">
        <v>45551.0</v>
      </c>
      <c r="I92" s="11">
        <v>346.99</v>
      </c>
    </row>
    <row r="93" ht="15.75" customHeight="1">
      <c r="A93" s="8" t="s">
        <v>75</v>
      </c>
      <c r="B93" s="8" t="s">
        <v>16</v>
      </c>
      <c r="C93" s="8" t="s">
        <v>22</v>
      </c>
      <c r="D93" s="8" t="s">
        <v>29</v>
      </c>
      <c r="E93" s="9">
        <v>727.73</v>
      </c>
      <c r="F93" s="8">
        <v>1.0</v>
      </c>
      <c r="G93" s="8">
        <v>0.1</v>
      </c>
      <c r="H93" s="10">
        <v>45552.0</v>
      </c>
      <c r="I93" s="11">
        <v>229.23</v>
      </c>
    </row>
    <row r="94" ht="15.75" customHeight="1">
      <c r="A94" s="8" t="s">
        <v>76</v>
      </c>
      <c r="B94" s="8" t="s">
        <v>40</v>
      </c>
      <c r="C94" s="8" t="s">
        <v>20</v>
      </c>
      <c r="D94" s="8" t="s">
        <v>41</v>
      </c>
      <c r="E94" s="9">
        <v>875.41</v>
      </c>
      <c r="F94" s="8">
        <v>13.0</v>
      </c>
      <c r="G94" s="8">
        <v>0.15</v>
      </c>
      <c r="H94" s="10">
        <v>45552.0</v>
      </c>
      <c r="I94" s="11">
        <v>334.84</v>
      </c>
    </row>
    <row r="95" ht="15.75" customHeight="1">
      <c r="A95" s="8" t="s">
        <v>69</v>
      </c>
      <c r="B95" s="8" t="s">
        <v>25</v>
      </c>
      <c r="C95" s="8" t="s">
        <v>13</v>
      </c>
      <c r="D95" s="8" t="s">
        <v>23</v>
      </c>
      <c r="E95" s="9">
        <v>1158.94</v>
      </c>
      <c r="F95" s="8">
        <v>19.0</v>
      </c>
      <c r="G95" s="8">
        <v>0.2</v>
      </c>
      <c r="H95" s="10">
        <v>45553.0</v>
      </c>
      <c r="I95" s="11">
        <v>231.79</v>
      </c>
    </row>
    <row r="96" ht="15.75" customHeight="1">
      <c r="A96" s="8" t="s">
        <v>77</v>
      </c>
      <c r="B96" s="8" t="s">
        <v>49</v>
      </c>
      <c r="C96" s="8" t="s">
        <v>22</v>
      </c>
      <c r="D96" s="8" t="s">
        <v>14</v>
      </c>
      <c r="E96" s="9">
        <v>966.3</v>
      </c>
      <c r="F96" s="8">
        <v>2.0</v>
      </c>
      <c r="G96" s="8">
        <v>0.15</v>
      </c>
      <c r="H96" s="10">
        <v>45557.0</v>
      </c>
      <c r="I96" s="11">
        <v>328.54</v>
      </c>
    </row>
    <row r="97" ht="15.75" customHeight="1">
      <c r="A97" s="8" t="s">
        <v>70</v>
      </c>
      <c r="B97" s="8" t="s">
        <v>19</v>
      </c>
      <c r="C97" s="8" t="s">
        <v>22</v>
      </c>
      <c r="D97" s="8" t="s">
        <v>14</v>
      </c>
      <c r="E97" s="9">
        <v>917.48</v>
      </c>
      <c r="F97" s="8">
        <v>6.0</v>
      </c>
      <c r="G97" s="8">
        <v>0.0</v>
      </c>
      <c r="H97" s="10">
        <v>45558.0</v>
      </c>
      <c r="I97" s="11">
        <v>366.99</v>
      </c>
    </row>
    <row r="98" ht="15.75" customHeight="1">
      <c r="A98" s="8" t="s">
        <v>43</v>
      </c>
      <c r="B98" s="8" t="s">
        <v>63</v>
      </c>
      <c r="C98" s="8" t="s">
        <v>13</v>
      </c>
      <c r="D98" s="8" t="s">
        <v>29</v>
      </c>
      <c r="E98" s="9">
        <v>1172.97</v>
      </c>
      <c r="F98" s="8">
        <v>7.0</v>
      </c>
      <c r="G98" s="8">
        <v>0.15</v>
      </c>
      <c r="H98" s="10">
        <v>45559.0</v>
      </c>
      <c r="I98" s="11">
        <v>348.96</v>
      </c>
    </row>
    <row r="99" ht="15.75" customHeight="1">
      <c r="A99" s="8" t="s">
        <v>59</v>
      </c>
      <c r="B99" s="8" t="s">
        <v>25</v>
      </c>
      <c r="C99" s="8" t="s">
        <v>26</v>
      </c>
      <c r="D99" s="8" t="s">
        <v>17</v>
      </c>
      <c r="E99" s="9">
        <v>1205.82</v>
      </c>
      <c r="F99" s="8">
        <v>11.0</v>
      </c>
      <c r="G99" s="8">
        <v>0.1</v>
      </c>
      <c r="H99" s="10">
        <v>45559.0</v>
      </c>
      <c r="I99" s="11">
        <v>542.62</v>
      </c>
    </row>
    <row r="100" ht="15.75" customHeight="1">
      <c r="A100" s="8" t="s">
        <v>18</v>
      </c>
      <c r="B100" s="8" t="s">
        <v>66</v>
      </c>
      <c r="C100" s="8" t="s">
        <v>13</v>
      </c>
      <c r="D100" s="8" t="s">
        <v>41</v>
      </c>
      <c r="E100" s="9">
        <v>826.93</v>
      </c>
      <c r="F100" s="8">
        <v>10.0</v>
      </c>
      <c r="G100" s="8">
        <v>0.2</v>
      </c>
      <c r="H100" s="10">
        <v>45564.0</v>
      </c>
      <c r="I100" s="11">
        <v>297.69</v>
      </c>
    </row>
    <row r="101" ht="15.75" customHeight="1">
      <c r="A101" s="8" t="s">
        <v>69</v>
      </c>
      <c r="B101" s="8" t="s">
        <v>25</v>
      </c>
      <c r="C101" s="8" t="s">
        <v>36</v>
      </c>
      <c r="D101" s="8" t="s">
        <v>17</v>
      </c>
      <c r="E101" s="9">
        <v>902.19</v>
      </c>
      <c r="F101" s="8">
        <v>12.0</v>
      </c>
      <c r="G101" s="8">
        <v>0.0</v>
      </c>
      <c r="H101" s="10">
        <v>45564.0</v>
      </c>
      <c r="I101" s="11">
        <v>451.1</v>
      </c>
    </row>
    <row r="102" ht="15.75" customHeight="1">
      <c r="A102" s="8" t="s">
        <v>76</v>
      </c>
      <c r="B102" s="8" t="s">
        <v>40</v>
      </c>
      <c r="C102" s="8" t="s">
        <v>26</v>
      </c>
      <c r="D102" s="8" t="s">
        <v>14</v>
      </c>
      <c r="E102" s="9">
        <v>585.97</v>
      </c>
      <c r="F102" s="8">
        <v>17.0</v>
      </c>
      <c r="G102" s="8">
        <v>0.1</v>
      </c>
      <c r="H102" s="10">
        <v>45565.0</v>
      </c>
      <c r="I102" s="11">
        <v>210.95</v>
      </c>
    </row>
    <row r="103" ht="15.75" customHeight="1">
      <c r="A103" s="8" t="s">
        <v>62</v>
      </c>
      <c r="B103" s="8" t="s">
        <v>28</v>
      </c>
      <c r="C103" s="8" t="s">
        <v>26</v>
      </c>
      <c r="D103" s="8" t="s">
        <v>17</v>
      </c>
      <c r="E103" s="9">
        <v>990.19</v>
      </c>
      <c r="F103" s="8">
        <v>8.0</v>
      </c>
      <c r="G103" s="8">
        <v>0.1</v>
      </c>
      <c r="H103" s="10">
        <v>45565.0</v>
      </c>
      <c r="I103" s="11">
        <v>445.59</v>
      </c>
    </row>
    <row r="104" ht="15.75" customHeight="1">
      <c r="A104" s="8" t="s">
        <v>46</v>
      </c>
      <c r="B104" s="8" t="s">
        <v>58</v>
      </c>
      <c r="C104" s="8" t="s">
        <v>36</v>
      </c>
      <c r="D104" s="8" t="s">
        <v>23</v>
      </c>
      <c r="E104" s="9">
        <v>1014.09</v>
      </c>
      <c r="F104" s="8">
        <v>13.0</v>
      </c>
      <c r="G104" s="8">
        <v>0.2</v>
      </c>
      <c r="H104" s="10">
        <v>45567.0</v>
      </c>
      <c r="I104" s="11">
        <v>202.82</v>
      </c>
    </row>
    <row r="105" ht="15.75" customHeight="1">
      <c r="A105" s="8" t="s">
        <v>15</v>
      </c>
      <c r="B105" s="8" t="s">
        <v>50</v>
      </c>
      <c r="C105" s="8" t="s">
        <v>26</v>
      </c>
      <c r="D105" s="8" t="s">
        <v>23</v>
      </c>
      <c r="E105" s="9">
        <v>925.29</v>
      </c>
      <c r="F105" s="8">
        <v>17.0</v>
      </c>
      <c r="G105" s="8">
        <v>0.0</v>
      </c>
      <c r="H105" s="10">
        <v>45570.0</v>
      </c>
      <c r="I105" s="11">
        <v>231.32</v>
      </c>
    </row>
    <row r="106" ht="15.75" customHeight="1">
      <c r="A106" s="8" t="s">
        <v>56</v>
      </c>
      <c r="B106" s="8" t="s">
        <v>49</v>
      </c>
      <c r="C106" s="8" t="s">
        <v>20</v>
      </c>
      <c r="D106" s="8" t="s">
        <v>29</v>
      </c>
      <c r="E106" s="9">
        <v>1286.54</v>
      </c>
      <c r="F106" s="8">
        <v>8.0</v>
      </c>
      <c r="G106" s="8">
        <v>0.0</v>
      </c>
      <c r="H106" s="10">
        <v>45575.0</v>
      </c>
      <c r="I106" s="11">
        <v>450.29</v>
      </c>
    </row>
    <row r="107" ht="15.75" customHeight="1">
      <c r="A107" s="8" t="s">
        <v>39</v>
      </c>
      <c r="B107" s="8" t="s">
        <v>66</v>
      </c>
      <c r="C107" s="8" t="s">
        <v>22</v>
      </c>
      <c r="D107" s="8" t="s">
        <v>14</v>
      </c>
      <c r="E107" s="9">
        <v>961.62</v>
      </c>
      <c r="F107" s="8">
        <v>8.0</v>
      </c>
      <c r="G107" s="8">
        <v>0.2</v>
      </c>
      <c r="H107" s="10">
        <v>45577.0</v>
      </c>
      <c r="I107" s="11">
        <v>307.72</v>
      </c>
    </row>
    <row r="108" ht="15.75" customHeight="1">
      <c r="A108" s="8" t="s">
        <v>46</v>
      </c>
      <c r="B108" s="8" t="s">
        <v>25</v>
      </c>
      <c r="C108" s="8" t="s">
        <v>20</v>
      </c>
      <c r="D108" s="8" t="s">
        <v>14</v>
      </c>
      <c r="E108" s="9">
        <v>1081.14</v>
      </c>
      <c r="F108" s="8">
        <v>19.0</v>
      </c>
      <c r="G108" s="8">
        <v>0.15</v>
      </c>
      <c r="H108" s="10">
        <v>45577.0</v>
      </c>
      <c r="I108" s="11">
        <v>367.59</v>
      </c>
    </row>
    <row r="109" ht="15.75" customHeight="1">
      <c r="A109" s="8" t="s">
        <v>60</v>
      </c>
      <c r="B109" s="8" t="s">
        <v>25</v>
      </c>
      <c r="C109" s="8" t="s">
        <v>13</v>
      </c>
      <c r="D109" s="8" t="s">
        <v>17</v>
      </c>
      <c r="E109" s="9">
        <v>1923.66</v>
      </c>
      <c r="F109" s="8">
        <v>9.0</v>
      </c>
      <c r="G109" s="8">
        <v>0.2</v>
      </c>
      <c r="H109" s="10">
        <v>45580.0</v>
      </c>
      <c r="I109" s="11">
        <v>769.46</v>
      </c>
    </row>
    <row r="110" ht="15.75" customHeight="1">
      <c r="A110" s="8" t="s">
        <v>56</v>
      </c>
      <c r="B110" s="8" t="s">
        <v>68</v>
      </c>
      <c r="C110" s="8" t="s">
        <v>36</v>
      </c>
      <c r="D110" s="8" t="s">
        <v>17</v>
      </c>
      <c r="E110" s="9">
        <v>728.71</v>
      </c>
      <c r="F110" s="8">
        <v>14.0</v>
      </c>
      <c r="G110" s="8">
        <v>0.1</v>
      </c>
      <c r="H110" s="10">
        <v>45581.0</v>
      </c>
      <c r="I110" s="11">
        <v>327.92</v>
      </c>
    </row>
    <row r="111" ht="15.75" customHeight="1">
      <c r="A111" s="8" t="s">
        <v>11</v>
      </c>
      <c r="B111" s="8" t="s">
        <v>35</v>
      </c>
      <c r="C111" s="8" t="s">
        <v>36</v>
      </c>
      <c r="D111" s="8" t="s">
        <v>17</v>
      </c>
      <c r="E111" s="9">
        <v>1301.89</v>
      </c>
      <c r="F111" s="8">
        <v>7.0</v>
      </c>
      <c r="G111" s="8">
        <v>0.15</v>
      </c>
      <c r="H111" s="10">
        <v>45581.0</v>
      </c>
      <c r="I111" s="11">
        <v>553.3</v>
      </c>
    </row>
    <row r="112" ht="15.75" customHeight="1">
      <c r="A112" s="8" t="s">
        <v>72</v>
      </c>
      <c r="B112" s="8" t="s">
        <v>68</v>
      </c>
      <c r="C112" s="8" t="s">
        <v>20</v>
      </c>
      <c r="D112" s="8" t="s">
        <v>14</v>
      </c>
      <c r="E112" s="9">
        <v>980.18</v>
      </c>
      <c r="F112" s="8">
        <v>16.0</v>
      </c>
      <c r="G112" s="8">
        <v>0.1</v>
      </c>
      <c r="H112" s="10">
        <v>45582.0</v>
      </c>
      <c r="I112" s="11">
        <v>352.86</v>
      </c>
    </row>
    <row r="113" ht="15.75" customHeight="1">
      <c r="A113" s="8" t="s">
        <v>76</v>
      </c>
      <c r="B113" s="8" t="s">
        <v>25</v>
      </c>
      <c r="C113" s="8" t="s">
        <v>13</v>
      </c>
      <c r="D113" s="8" t="s">
        <v>17</v>
      </c>
      <c r="E113" s="9">
        <v>697.57</v>
      </c>
      <c r="F113" s="8">
        <v>17.0</v>
      </c>
      <c r="G113" s="8">
        <v>0.1</v>
      </c>
      <c r="H113" s="10">
        <v>45584.0</v>
      </c>
      <c r="I113" s="11">
        <v>313.91</v>
      </c>
    </row>
    <row r="114" ht="15.75" customHeight="1">
      <c r="A114" s="8" t="s">
        <v>48</v>
      </c>
      <c r="B114" s="8" t="s">
        <v>73</v>
      </c>
      <c r="C114" s="8" t="s">
        <v>13</v>
      </c>
      <c r="D114" s="8" t="s">
        <v>29</v>
      </c>
      <c r="E114" s="9">
        <v>1193.61</v>
      </c>
      <c r="F114" s="8">
        <v>1.0</v>
      </c>
      <c r="G114" s="8">
        <v>0.15</v>
      </c>
      <c r="H114" s="10">
        <v>45584.0</v>
      </c>
      <c r="I114" s="11">
        <v>355.1</v>
      </c>
    </row>
    <row r="115" ht="15.75" customHeight="1">
      <c r="A115" s="8" t="s">
        <v>34</v>
      </c>
      <c r="B115" s="8" t="s">
        <v>40</v>
      </c>
      <c r="C115" s="8" t="s">
        <v>22</v>
      </c>
      <c r="D115" s="8" t="s">
        <v>23</v>
      </c>
      <c r="E115" s="9">
        <v>771.02</v>
      </c>
      <c r="F115" s="8">
        <v>1.0</v>
      </c>
      <c r="G115" s="8">
        <v>0.0</v>
      </c>
      <c r="H115" s="10">
        <v>45585.0</v>
      </c>
      <c r="I115" s="11">
        <v>192.76</v>
      </c>
    </row>
    <row r="116" ht="15.75" customHeight="1">
      <c r="A116" s="8" t="s">
        <v>69</v>
      </c>
      <c r="B116" s="8" t="s">
        <v>71</v>
      </c>
      <c r="C116" s="8" t="s">
        <v>26</v>
      </c>
      <c r="D116" s="8" t="s">
        <v>17</v>
      </c>
      <c r="E116" s="9">
        <v>661.09</v>
      </c>
      <c r="F116" s="8">
        <v>1.0</v>
      </c>
      <c r="G116" s="8">
        <v>0.2</v>
      </c>
      <c r="H116" s="10">
        <v>45593.0</v>
      </c>
      <c r="I116" s="11">
        <v>264.44</v>
      </c>
    </row>
    <row r="117" ht="15.75" customHeight="1">
      <c r="A117" s="8" t="s">
        <v>15</v>
      </c>
      <c r="B117" s="8" t="s">
        <v>57</v>
      </c>
      <c r="C117" s="8" t="s">
        <v>13</v>
      </c>
      <c r="D117" s="8" t="s">
        <v>23</v>
      </c>
      <c r="E117" s="9">
        <v>688.83</v>
      </c>
      <c r="F117" s="8">
        <v>15.0</v>
      </c>
      <c r="G117" s="8">
        <v>0.0</v>
      </c>
      <c r="H117" s="10">
        <v>45595.0</v>
      </c>
      <c r="I117" s="11">
        <v>172.21</v>
      </c>
    </row>
    <row r="118" ht="15.75" customHeight="1">
      <c r="A118" s="8" t="s">
        <v>75</v>
      </c>
      <c r="B118" s="8" t="s">
        <v>31</v>
      </c>
      <c r="C118" s="8" t="s">
        <v>36</v>
      </c>
      <c r="D118" s="8" t="s">
        <v>14</v>
      </c>
      <c r="E118" s="9">
        <v>1249.1</v>
      </c>
      <c r="F118" s="8">
        <v>4.0</v>
      </c>
      <c r="G118" s="8">
        <v>0.05</v>
      </c>
      <c r="H118" s="10">
        <v>45597.0</v>
      </c>
      <c r="I118" s="11">
        <v>474.66</v>
      </c>
    </row>
    <row r="119" ht="15.75" customHeight="1">
      <c r="A119" s="8" t="s">
        <v>46</v>
      </c>
      <c r="B119" s="8" t="s">
        <v>25</v>
      </c>
      <c r="C119" s="8" t="s">
        <v>20</v>
      </c>
      <c r="D119" s="8" t="s">
        <v>41</v>
      </c>
      <c r="E119" s="9">
        <v>1014.22</v>
      </c>
      <c r="F119" s="8">
        <v>14.0</v>
      </c>
      <c r="G119" s="8">
        <v>0.05</v>
      </c>
      <c r="H119" s="10">
        <v>45599.0</v>
      </c>
      <c r="I119" s="11">
        <v>433.58</v>
      </c>
    </row>
    <row r="120" ht="15.75" customHeight="1">
      <c r="A120" s="8" t="s">
        <v>56</v>
      </c>
      <c r="B120" s="8" t="s">
        <v>50</v>
      </c>
      <c r="C120" s="8" t="s">
        <v>20</v>
      </c>
      <c r="D120" s="8" t="s">
        <v>14</v>
      </c>
      <c r="E120" s="9">
        <v>1010.58</v>
      </c>
      <c r="F120" s="8">
        <v>2.0</v>
      </c>
      <c r="G120" s="8">
        <v>0.15</v>
      </c>
      <c r="H120" s="10">
        <v>45605.0</v>
      </c>
      <c r="I120" s="11">
        <v>343.6</v>
      </c>
    </row>
    <row r="121" ht="15.75" customHeight="1">
      <c r="A121" s="8" t="s">
        <v>32</v>
      </c>
      <c r="B121" s="8" t="s">
        <v>61</v>
      </c>
      <c r="C121" s="8" t="s">
        <v>26</v>
      </c>
      <c r="D121" s="8" t="s">
        <v>29</v>
      </c>
      <c r="E121" s="9">
        <v>957.29</v>
      </c>
      <c r="F121" s="8">
        <v>4.0</v>
      </c>
      <c r="G121" s="8">
        <v>0.05</v>
      </c>
      <c r="H121" s="10">
        <v>45605.0</v>
      </c>
      <c r="I121" s="11">
        <v>318.3</v>
      </c>
    </row>
    <row r="122" ht="15.75" customHeight="1">
      <c r="A122" s="8" t="s">
        <v>30</v>
      </c>
      <c r="B122" s="8" t="s">
        <v>47</v>
      </c>
      <c r="C122" s="8" t="s">
        <v>26</v>
      </c>
      <c r="D122" s="8" t="s">
        <v>29</v>
      </c>
      <c r="E122" s="9">
        <v>1077.92</v>
      </c>
      <c r="F122" s="8">
        <v>3.0</v>
      </c>
      <c r="G122" s="8">
        <v>0.05</v>
      </c>
      <c r="H122" s="10">
        <v>45608.0</v>
      </c>
      <c r="I122" s="11">
        <v>358.41</v>
      </c>
    </row>
    <row r="123" ht="15.75" customHeight="1">
      <c r="A123" s="8" t="s">
        <v>54</v>
      </c>
      <c r="B123" s="8" t="s">
        <v>52</v>
      </c>
      <c r="C123" s="8" t="s">
        <v>22</v>
      </c>
      <c r="D123" s="8" t="s">
        <v>17</v>
      </c>
      <c r="E123" s="9">
        <v>1163.01</v>
      </c>
      <c r="F123" s="8">
        <v>5.0</v>
      </c>
      <c r="G123" s="8">
        <v>0.0</v>
      </c>
      <c r="H123" s="10">
        <v>45611.0</v>
      </c>
      <c r="I123" s="11">
        <v>581.5</v>
      </c>
    </row>
    <row r="124" ht="15.75" customHeight="1">
      <c r="A124" s="8" t="s">
        <v>56</v>
      </c>
      <c r="B124" s="8" t="s">
        <v>47</v>
      </c>
      <c r="C124" s="8" t="s">
        <v>20</v>
      </c>
      <c r="D124" s="8" t="s">
        <v>41</v>
      </c>
      <c r="E124" s="9">
        <v>1014.56</v>
      </c>
      <c r="F124" s="8">
        <v>10.0</v>
      </c>
      <c r="G124" s="8">
        <v>0.1</v>
      </c>
      <c r="H124" s="10">
        <v>45612.0</v>
      </c>
      <c r="I124" s="11">
        <v>410.9</v>
      </c>
    </row>
    <row r="125" ht="15.75" customHeight="1">
      <c r="A125" s="8" t="s">
        <v>11</v>
      </c>
      <c r="B125" s="8" t="s">
        <v>19</v>
      </c>
      <c r="C125" s="8" t="s">
        <v>22</v>
      </c>
      <c r="D125" s="8" t="s">
        <v>23</v>
      </c>
      <c r="E125" s="9">
        <v>718.04</v>
      </c>
      <c r="F125" s="8">
        <v>14.0</v>
      </c>
      <c r="G125" s="8">
        <v>0.0</v>
      </c>
      <c r="H125" s="10">
        <v>45613.0</v>
      </c>
      <c r="I125" s="11">
        <v>179.51</v>
      </c>
    </row>
    <row r="126" ht="15.75" customHeight="1">
      <c r="A126" s="8" t="s">
        <v>74</v>
      </c>
      <c r="B126" s="8" t="s">
        <v>19</v>
      </c>
      <c r="C126" s="8" t="s">
        <v>36</v>
      </c>
      <c r="D126" s="8" t="s">
        <v>17</v>
      </c>
      <c r="E126" s="9">
        <v>1277.85</v>
      </c>
      <c r="F126" s="8">
        <v>18.0</v>
      </c>
      <c r="G126" s="8">
        <v>0.2</v>
      </c>
      <c r="H126" s="10">
        <v>45613.0</v>
      </c>
      <c r="I126" s="11">
        <v>511.14</v>
      </c>
    </row>
    <row r="127" ht="15.75" customHeight="1">
      <c r="A127" s="8" t="s">
        <v>72</v>
      </c>
      <c r="B127" s="8" t="s">
        <v>25</v>
      </c>
      <c r="C127" s="8" t="s">
        <v>26</v>
      </c>
      <c r="D127" s="8" t="s">
        <v>23</v>
      </c>
      <c r="E127" s="9">
        <v>706.73</v>
      </c>
      <c r="F127" s="8">
        <v>1.0</v>
      </c>
      <c r="G127" s="8">
        <v>0.15</v>
      </c>
      <c r="H127" s="10">
        <v>45613.0</v>
      </c>
      <c r="I127" s="11">
        <v>150.18</v>
      </c>
    </row>
    <row r="128" ht="15.75" customHeight="1">
      <c r="A128" s="8" t="s">
        <v>67</v>
      </c>
      <c r="B128" s="8" t="s">
        <v>52</v>
      </c>
      <c r="C128" s="8" t="s">
        <v>20</v>
      </c>
      <c r="D128" s="8" t="s">
        <v>23</v>
      </c>
      <c r="E128" s="9">
        <v>1410.59</v>
      </c>
      <c r="F128" s="8">
        <v>15.0</v>
      </c>
      <c r="G128" s="8">
        <v>0.0</v>
      </c>
      <c r="H128" s="10">
        <v>45615.0</v>
      </c>
      <c r="I128" s="11">
        <v>352.65</v>
      </c>
    </row>
    <row r="129" ht="15.75" customHeight="1">
      <c r="A129" s="8" t="s">
        <v>34</v>
      </c>
      <c r="B129" s="8" t="s">
        <v>63</v>
      </c>
      <c r="C129" s="8" t="s">
        <v>22</v>
      </c>
      <c r="D129" s="8" t="s">
        <v>29</v>
      </c>
      <c r="E129" s="9">
        <v>1350.33</v>
      </c>
      <c r="F129" s="8">
        <v>10.0</v>
      </c>
      <c r="G129" s="8">
        <v>0.0</v>
      </c>
      <c r="H129" s="10">
        <v>45615.0</v>
      </c>
      <c r="I129" s="11">
        <v>472.62</v>
      </c>
    </row>
    <row r="130" ht="15.75" customHeight="1">
      <c r="A130" s="8" t="s">
        <v>43</v>
      </c>
      <c r="B130" s="8" t="s">
        <v>47</v>
      </c>
      <c r="C130" s="8" t="s">
        <v>20</v>
      </c>
      <c r="D130" s="8" t="s">
        <v>23</v>
      </c>
      <c r="E130" s="9">
        <v>919.18</v>
      </c>
      <c r="F130" s="8">
        <v>4.0</v>
      </c>
      <c r="G130" s="8">
        <v>0.15</v>
      </c>
      <c r="H130" s="10">
        <v>45615.0</v>
      </c>
      <c r="I130" s="11">
        <v>195.33</v>
      </c>
    </row>
    <row r="131" ht="15.75" customHeight="1">
      <c r="A131" s="8" t="s">
        <v>76</v>
      </c>
      <c r="B131" s="8" t="s">
        <v>25</v>
      </c>
      <c r="C131" s="8" t="s">
        <v>13</v>
      </c>
      <c r="D131" s="8" t="s">
        <v>23</v>
      </c>
      <c r="E131" s="9">
        <v>258.51</v>
      </c>
      <c r="F131" s="8">
        <v>19.0</v>
      </c>
      <c r="G131" s="8">
        <v>0.0</v>
      </c>
      <c r="H131" s="10">
        <v>45616.0</v>
      </c>
      <c r="I131" s="11">
        <v>64.63</v>
      </c>
    </row>
    <row r="132" ht="15.75" customHeight="1">
      <c r="A132" s="8" t="s">
        <v>65</v>
      </c>
      <c r="B132" s="8" t="s">
        <v>63</v>
      </c>
      <c r="C132" s="8" t="s">
        <v>20</v>
      </c>
      <c r="D132" s="8" t="s">
        <v>14</v>
      </c>
      <c r="E132" s="9">
        <v>1213.48</v>
      </c>
      <c r="F132" s="8">
        <v>5.0</v>
      </c>
      <c r="G132" s="8">
        <v>0.05</v>
      </c>
      <c r="H132" s="10">
        <v>45616.0</v>
      </c>
      <c r="I132" s="11">
        <v>461.12</v>
      </c>
    </row>
    <row r="133" ht="15.75" customHeight="1">
      <c r="A133" s="8" t="s">
        <v>59</v>
      </c>
      <c r="B133" s="8" t="s">
        <v>40</v>
      </c>
      <c r="C133" s="8" t="s">
        <v>36</v>
      </c>
      <c r="D133" s="8" t="s">
        <v>14</v>
      </c>
      <c r="E133" s="9">
        <v>1150.28</v>
      </c>
      <c r="F133" s="8">
        <v>8.0</v>
      </c>
      <c r="G133" s="8">
        <v>0.05</v>
      </c>
      <c r="H133" s="10">
        <v>45622.0</v>
      </c>
      <c r="I133" s="11">
        <v>437.11</v>
      </c>
    </row>
    <row r="134" ht="15.75" customHeight="1">
      <c r="A134" s="8" t="s">
        <v>39</v>
      </c>
      <c r="B134" s="8" t="s">
        <v>73</v>
      </c>
      <c r="C134" s="8" t="s">
        <v>22</v>
      </c>
      <c r="D134" s="8" t="s">
        <v>29</v>
      </c>
      <c r="E134" s="9">
        <v>853.86</v>
      </c>
      <c r="F134" s="8">
        <v>8.0</v>
      </c>
      <c r="G134" s="8">
        <v>0.1</v>
      </c>
      <c r="H134" s="10">
        <v>45622.0</v>
      </c>
      <c r="I134" s="11">
        <v>268.97</v>
      </c>
    </row>
    <row r="135" ht="15.75" customHeight="1">
      <c r="A135" s="8" t="s">
        <v>77</v>
      </c>
      <c r="B135" s="8" t="s">
        <v>47</v>
      </c>
      <c r="C135" s="8" t="s">
        <v>22</v>
      </c>
      <c r="D135" s="8" t="s">
        <v>23</v>
      </c>
      <c r="E135" s="9">
        <v>1061.04</v>
      </c>
      <c r="F135" s="8">
        <v>1.0</v>
      </c>
      <c r="G135" s="8">
        <v>0.0</v>
      </c>
      <c r="H135" s="10">
        <v>45624.0</v>
      </c>
      <c r="I135" s="11">
        <v>265.26</v>
      </c>
    </row>
    <row r="136" ht="15.75" customHeight="1">
      <c r="A136" s="8" t="s">
        <v>30</v>
      </c>
      <c r="B136" s="8" t="s">
        <v>45</v>
      </c>
      <c r="C136" s="8" t="s">
        <v>13</v>
      </c>
      <c r="D136" s="8" t="s">
        <v>23</v>
      </c>
      <c r="E136" s="9">
        <v>894.55</v>
      </c>
      <c r="F136" s="8">
        <v>19.0</v>
      </c>
      <c r="G136" s="8">
        <v>0.2</v>
      </c>
      <c r="H136" s="10">
        <v>45625.0</v>
      </c>
      <c r="I136" s="11">
        <v>178.91</v>
      </c>
    </row>
    <row r="137" ht="15.75" customHeight="1">
      <c r="A137" s="8" t="s">
        <v>27</v>
      </c>
      <c r="B137" s="8" t="s">
        <v>40</v>
      </c>
      <c r="C137" s="8" t="s">
        <v>26</v>
      </c>
      <c r="D137" s="8" t="s">
        <v>41</v>
      </c>
      <c r="E137" s="9">
        <v>833.91</v>
      </c>
      <c r="F137" s="8">
        <v>3.0</v>
      </c>
      <c r="G137" s="8">
        <v>0.05</v>
      </c>
      <c r="H137" s="10">
        <v>45626.0</v>
      </c>
      <c r="I137" s="11">
        <v>356.5</v>
      </c>
    </row>
    <row r="138" ht="15.75" customHeight="1">
      <c r="A138" s="8" t="s">
        <v>60</v>
      </c>
      <c r="B138" s="8" t="s">
        <v>73</v>
      </c>
      <c r="C138" s="8" t="s">
        <v>13</v>
      </c>
      <c r="D138" s="8" t="s">
        <v>29</v>
      </c>
      <c r="E138" s="9">
        <v>820.19</v>
      </c>
      <c r="F138" s="8">
        <v>4.0</v>
      </c>
      <c r="G138" s="8">
        <v>0.2</v>
      </c>
      <c r="H138" s="10">
        <v>45630.0</v>
      </c>
      <c r="I138" s="11">
        <v>229.65</v>
      </c>
    </row>
    <row r="139" ht="15.75" customHeight="1">
      <c r="A139" s="8" t="s">
        <v>60</v>
      </c>
      <c r="B139" s="8" t="s">
        <v>40</v>
      </c>
      <c r="C139" s="8" t="s">
        <v>36</v>
      </c>
      <c r="D139" s="8" t="s">
        <v>23</v>
      </c>
      <c r="E139" s="9">
        <v>511.74</v>
      </c>
      <c r="F139" s="8">
        <v>8.0</v>
      </c>
      <c r="G139" s="8">
        <v>0.05</v>
      </c>
      <c r="H139" s="10">
        <v>45631.0</v>
      </c>
      <c r="I139" s="11">
        <v>121.54</v>
      </c>
    </row>
    <row r="140" ht="15.75" customHeight="1">
      <c r="A140" s="8" t="s">
        <v>67</v>
      </c>
      <c r="B140" s="8" t="s">
        <v>63</v>
      </c>
      <c r="C140" s="8" t="s">
        <v>22</v>
      </c>
      <c r="D140" s="8" t="s">
        <v>29</v>
      </c>
      <c r="E140" s="9">
        <v>806.03</v>
      </c>
      <c r="F140" s="8">
        <v>19.0</v>
      </c>
      <c r="G140" s="8">
        <v>0.05</v>
      </c>
      <c r="H140" s="10">
        <v>45638.0</v>
      </c>
      <c r="I140" s="11">
        <v>268.0</v>
      </c>
    </row>
    <row r="141" ht="15.75" customHeight="1">
      <c r="A141" s="8" t="s">
        <v>30</v>
      </c>
      <c r="B141" s="8" t="s">
        <v>28</v>
      </c>
      <c r="C141" s="8" t="s">
        <v>36</v>
      </c>
      <c r="D141" s="8" t="s">
        <v>29</v>
      </c>
      <c r="E141" s="9">
        <v>1432.47</v>
      </c>
      <c r="F141" s="8">
        <v>16.0</v>
      </c>
      <c r="G141" s="8">
        <v>0.15</v>
      </c>
      <c r="H141" s="10">
        <v>45640.0</v>
      </c>
      <c r="I141" s="11">
        <v>426.16</v>
      </c>
    </row>
    <row r="142" ht="15.75" customHeight="1">
      <c r="A142" s="8" t="s">
        <v>76</v>
      </c>
      <c r="B142" s="8" t="s">
        <v>31</v>
      </c>
      <c r="C142" s="8" t="s">
        <v>36</v>
      </c>
      <c r="D142" s="8" t="s">
        <v>23</v>
      </c>
      <c r="E142" s="9">
        <v>1488.58</v>
      </c>
      <c r="F142" s="8">
        <v>10.0</v>
      </c>
      <c r="G142" s="8">
        <v>0.15</v>
      </c>
      <c r="H142" s="10">
        <v>45640.0</v>
      </c>
      <c r="I142" s="11">
        <v>316.32</v>
      </c>
    </row>
    <row r="143" ht="15.75" customHeight="1">
      <c r="A143" s="8" t="s">
        <v>32</v>
      </c>
      <c r="B143" s="8" t="s">
        <v>68</v>
      </c>
      <c r="C143" s="8" t="s">
        <v>20</v>
      </c>
      <c r="D143" s="8" t="s">
        <v>14</v>
      </c>
      <c r="E143" s="9">
        <v>1231.26</v>
      </c>
      <c r="F143" s="8">
        <v>9.0</v>
      </c>
      <c r="G143" s="8">
        <v>0.0</v>
      </c>
      <c r="H143" s="10">
        <v>45646.0</v>
      </c>
      <c r="I143" s="11">
        <v>492.5</v>
      </c>
    </row>
    <row r="144" ht="15.75" customHeight="1">
      <c r="A144" s="8" t="s">
        <v>32</v>
      </c>
      <c r="B144" s="8" t="s">
        <v>45</v>
      </c>
      <c r="C144" s="8" t="s">
        <v>13</v>
      </c>
      <c r="D144" s="8" t="s">
        <v>23</v>
      </c>
      <c r="E144" s="9">
        <v>1161.67</v>
      </c>
      <c r="F144" s="8">
        <v>19.0</v>
      </c>
      <c r="G144" s="8">
        <v>0.2</v>
      </c>
      <c r="H144" s="10">
        <v>45647.0</v>
      </c>
      <c r="I144" s="11">
        <v>232.33</v>
      </c>
    </row>
    <row r="145" ht="15.75" customHeight="1">
      <c r="A145" s="8" t="s">
        <v>51</v>
      </c>
      <c r="B145" s="8" t="s">
        <v>47</v>
      </c>
      <c r="C145" s="8" t="s">
        <v>36</v>
      </c>
      <c r="D145" s="8" t="s">
        <v>41</v>
      </c>
      <c r="E145" s="9">
        <v>388.23</v>
      </c>
      <c r="F145" s="8">
        <v>16.0</v>
      </c>
      <c r="G145" s="8">
        <v>0.05</v>
      </c>
      <c r="H145" s="10">
        <v>45650.0</v>
      </c>
      <c r="I145" s="11">
        <v>165.97</v>
      </c>
    </row>
    <row r="146" ht="15.75" customHeight="1">
      <c r="A146" s="8" t="s">
        <v>74</v>
      </c>
      <c r="B146" s="8" t="s">
        <v>33</v>
      </c>
      <c r="C146" s="8" t="s">
        <v>26</v>
      </c>
      <c r="D146" s="8" t="s">
        <v>17</v>
      </c>
      <c r="E146" s="9">
        <v>1589.42</v>
      </c>
      <c r="F146" s="8">
        <v>6.0</v>
      </c>
      <c r="G146" s="8">
        <v>0.15</v>
      </c>
      <c r="H146" s="10">
        <v>45651.0</v>
      </c>
      <c r="I146" s="11">
        <v>675.5</v>
      </c>
    </row>
    <row r="147" ht="15.75" customHeight="1">
      <c r="A147" s="8" t="s">
        <v>30</v>
      </c>
      <c r="B147" s="8" t="s">
        <v>73</v>
      </c>
      <c r="C147" s="8" t="s">
        <v>26</v>
      </c>
      <c r="D147" s="8" t="s">
        <v>17</v>
      </c>
      <c r="E147" s="9">
        <v>336.66</v>
      </c>
      <c r="F147" s="8">
        <v>13.0</v>
      </c>
      <c r="G147" s="8">
        <v>0.2</v>
      </c>
      <c r="H147" s="10">
        <v>45651.0</v>
      </c>
      <c r="I147" s="11">
        <v>134.66</v>
      </c>
    </row>
    <row r="148" ht="15.75" customHeight="1">
      <c r="A148" s="8" t="s">
        <v>51</v>
      </c>
      <c r="B148" s="8" t="s">
        <v>25</v>
      </c>
      <c r="C148" s="8" t="s">
        <v>13</v>
      </c>
      <c r="D148" s="8" t="s">
        <v>14</v>
      </c>
      <c r="E148" s="9">
        <v>1353.79</v>
      </c>
      <c r="F148" s="8">
        <v>14.0</v>
      </c>
      <c r="G148" s="8">
        <v>0.1</v>
      </c>
      <c r="H148" s="10">
        <v>45656.0</v>
      </c>
      <c r="I148" s="11">
        <v>487.36</v>
      </c>
    </row>
    <row r="149" ht="15.75" customHeight="1">
      <c r="A149" s="8" t="s">
        <v>65</v>
      </c>
      <c r="B149" s="8" t="s">
        <v>71</v>
      </c>
      <c r="C149" s="8" t="s">
        <v>36</v>
      </c>
      <c r="D149" s="8" t="s">
        <v>17</v>
      </c>
      <c r="E149" s="9">
        <v>662.61</v>
      </c>
      <c r="F149" s="8">
        <v>11.0</v>
      </c>
      <c r="G149" s="8">
        <v>0.05</v>
      </c>
      <c r="H149" s="10">
        <v>45658.0</v>
      </c>
      <c r="I149" s="11">
        <v>314.74</v>
      </c>
    </row>
    <row r="150" ht="15.75" customHeight="1">
      <c r="A150" s="8" t="s">
        <v>54</v>
      </c>
      <c r="B150" s="8" t="s">
        <v>50</v>
      </c>
      <c r="C150" s="8" t="s">
        <v>26</v>
      </c>
      <c r="D150" s="8" t="s">
        <v>41</v>
      </c>
      <c r="E150" s="9">
        <v>309.42</v>
      </c>
      <c r="F150" s="8">
        <v>1.0</v>
      </c>
      <c r="G150" s="8">
        <v>0.2</v>
      </c>
      <c r="H150" s="10">
        <v>45658.0</v>
      </c>
      <c r="I150" s="11">
        <v>111.39</v>
      </c>
    </row>
    <row r="151" ht="15.75" customHeight="1">
      <c r="A151" s="8" t="s">
        <v>65</v>
      </c>
      <c r="B151" s="8" t="s">
        <v>31</v>
      </c>
      <c r="C151" s="8" t="s">
        <v>26</v>
      </c>
      <c r="D151" s="8" t="s">
        <v>14</v>
      </c>
      <c r="E151" s="9">
        <v>884.63</v>
      </c>
      <c r="F151" s="8">
        <v>18.0</v>
      </c>
      <c r="G151" s="8">
        <v>0.1</v>
      </c>
      <c r="H151" s="10">
        <v>45659.0</v>
      </c>
      <c r="I151" s="11">
        <v>318.47</v>
      </c>
    </row>
    <row r="152" ht="15.75" customHeight="1">
      <c r="A152" s="8" t="s">
        <v>54</v>
      </c>
      <c r="B152" s="8" t="s">
        <v>25</v>
      </c>
      <c r="C152" s="8" t="s">
        <v>36</v>
      </c>
      <c r="D152" s="8" t="s">
        <v>41</v>
      </c>
      <c r="E152" s="9">
        <v>745.05</v>
      </c>
      <c r="F152" s="8">
        <v>10.0</v>
      </c>
      <c r="G152" s="8">
        <v>0.1</v>
      </c>
      <c r="H152" s="10">
        <v>45660.0</v>
      </c>
      <c r="I152" s="11">
        <v>301.75</v>
      </c>
    </row>
    <row r="153" ht="15.75" customHeight="1">
      <c r="A153" s="8" t="s">
        <v>62</v>
      </c>
      <c r="B153" s="8" t="s">
        <v>19</v>
      </c>
      <c r="C153" s="8" t="s">
        <v>22</v>
      </c>
      <c r="D153" s="8" t="s">
        <v>17</v>
      </c>
      <c r="E153" s="9">
        <v>870.23</v>
      </c>
      <c r="F153" s="8">
        <v>5.0</v>
      </c>
      <c r="G153" s="8">
        <v>0.05</v>
      </c>
      <c r="H153" s="10">
        <v>45660.0</v>
      </c>
      <c r="I153" s="11">
        <v>413.36</v>
      </c>
    </row>
    <row r="154" ht="15.75" customHeight="1">
      <c r="A154" s="8" t="s">
        <v>37</v>
      </c>
      <c r="B154" s="8" t="s">
        <v>31</v>
      </c>
      <c r="C154" s="8" t="s">
        <v>13</v>
      </c>
      <c r="D154" s="8" t="s">
        <v>29</v>
      </c>
      <c r="E154" s="9">
        <v>862.19</v>
      </c>
      <c r="F154" s="8">
        <v>18.0</v>
      </c>
      <c r="G154" s="8">
        <v>0.05</v>
      </c>
      <c r="H154" s="10">
        <v>45663.0</v>
      </c>
      <c r="I154" s="11">
        <v>286.68</v>
      </c>
    </row>
    <row r="155" ht="15.75" customHeight="1">
      <c r="A155" s="8" t="s">
        <v>75</v>
      </c>
      <c r="B155" s="8" t="s">
        <v>61</v>
      </c>
      <c r="C155" s="8" t="s">
        <v>26</v>
      </c>
      <c r="D155" s="8" t="s">
        <v>17</v>
      </c>
      <c r="E155" s="9">
        <v>1171.18</v>
      </c>
      <c r="F155" s="8">
        <v>19.0</v>
      </c>
      <c r="G155" s="8">
        <v>0.05</v>
      </c>
      <c r="H155" s="10">
        <v>45667.0</v>
      </c>
      <c r="I155" s="11">
        <v>556.31</v>
      </c>
    </row>
    <row r="156" ht="15.75" customHeight="1">
      <c r="A156" s="8" t="s">
        <v>60</v>
      </c>
      <c r="B156" s="8" t="s">
        <v>16</v>
      </c>
      <c r="C156" s="8" t="s">
        <v>22</v>
      </c>
      <c r="D156" s="8" t="s">
        <v>29</v>
      </c>
      <c r="E156" s="9">
        <v>1054.56</v>
      </c>
      <c r="F156" s="8">
        <v>11.0</v>
      </c>
      <c r="G156" s="8">
        <v>0.1</v>
      </c>
      <c r="H156" s="10">
        <v>45669.0</v>
      </c>
      <c r="I156" s="11">
        <v>332.19</v>
      </c>
    </row>
    <row r="157" ht="15.75" customHeight="1">
      <c r="A157" s="8" t="s">
        <v>60</v>
      </c>
      <c r="B157" s="8" t="s">
        <v>25</v>
      </c>
      <c r="C157" s="8" t="s">
        <v>26</v>
      </c>
      <c r="D157" s="8" t="s">
        <v>23</v>
      </c>
      <c r="E157" s="9">
        <v>1681.21</v>
      </c>
      <c r="F157" s="8">
        <v>5.0</v>
      </c>
      <c r="G157" s="8">
        <v>0.2</v>
      </c>
      <c r="H157" s="10">
        <v>45670.0</v>
      </c>
      <c r="I157" s="11">
        <v>336.24</v>
      </c>
    </row>
    <row r="158" ht="15.75" customHeight="1">
      <c r="A158" s="8" t="s">
        <v>60</v>
      </c>
      <c r="B158" s="8" t="s">
        <v>38</v>
      </c>
      <c r="C158" s="8" t="s">
        <v>13</v>
      </c>
      <c r="D158" s="8" t="s">
        <v>17</v>
      </c>
      <c r="E158" s="9">
        <v>379.77</v>
      </c>
      <c r="F158" s="8">
        <v>9.0</v>
      </c>
      <c r="G158" s="8">
        <v>0.05</v>
      </c>
      <c r="H158" s="10">
        <v>45673.0</v>
      </c>
      <c r="I158" s="11">
        <v>180.39</v>
      </c>
    </row>
    <row r="159" ht="15.75" customHeight="1">
      <c r="A159" s="8" t="s">
        <v>46</v>
      </c>
      <c r="B159" s="8" t="s">
        <v>47</v>
      </c>
      <c r="C159" s="8" t="s">
        <v>36</v>
      </c>
      <c r="D159" s="8" t="s">
        <v>17</v>
      </c>
      <c r="E159" s="9">
        <v>1076.33</v>
      </c>
      <c r="F159" s="8">
        <v>2.0</v>
      </c>
      <c r="G159" s="8">
        <v>0.1</v>
      </c>
      <c r="H159" s="10">
        <v>45674.0</v>
      </c>
      <c r="I159" s="11">
        <v>484.35</v>
      </c>
    </row>
    <row r="160" ht="15.75" customHeight="1">
      <c r="A160" s="8" t="s">
        <v>46</v>
      </c>
      <c r="B160" s="8" t="s">
        <v>33</v>
      </c>
      <c r="C160" s="8" t="s">
        <v>36</v>
      </c>
      <c r="D160" s="8" t="s">
        <v>41</v>
      </c>
      <c r="E160" s="9">
        <v>1250.71</v>
      </c>
      <c r="F160" s="8">
        <v>7.0</v>
      </c>
      <c r="G160" s="8">
        <v>0.0</v>
      </c>
      <c r="H160" s="10">
        <v>45674.0</v>
      </c>
      <c r="I160" s="11">
        <v>562.82</v>
      </c>
    </row>
    <row r="161" ht="15.75" customHeight="1">
      <c r="A161" s="8" t="s">
        <v>42</v>
      </c>
      <c r="B161" s="8" t="s">
        <v>19</v>
      </c>
      <c r="C161" s="8" t="s">
        <v>22</v>
      </c>
      <c r="D161" s="8" t="s">
        <v>17</v>
      </c>
      <c r="E161" s="9">
        <v>1118.34</v>
      </c>
      <c r="F161" s="8">
        <v>6.0</v>
      </c>
      <c r="G161" s="8">
        <v>0.2</v>
      </c>
      <c r="H161" s="10">
        <v>45674.0</v>
      </c>
      <c r="I161" s="11">
        <v>447.34</v>
      </c>
    </row>
    <row r="162" ht="15.75" customHeight="1">
      <c r="A162" s="8" t="s">
        <v>72</v>
      </c>
      <c r="B162" s="8" t="s">
        <v>55</v>
      </c>
      <c r="C162" s="8" t="s">
        <v>26</v>
      </c>
      <c r="D162" s="8" t="s">
        <v>17</v>
      </c>
      <c r="E162" s="9">
        <v>1622.62</v>
      </c>
      <c r="F162" s="8">
        <v>12.0</v>
      </c>
      <c r="G162" s="8">
        <v>0.2</v>
      </c>
      <c r="H162" s="10">
        <v>45677.0</v>
      </c>
      <c r="I162" s="11">
        <v>649.05</v>
      </c>
    </row>
    <row r="163" ht="15.75" customHeight="1">
      <c r="A163" s="8" t="s">
        <v>77</v>
      </c>
      <c r="B163" s="8" t="s">
        <v>50</v>
      </c>
      <c r="C163" s="8" t="s">
        <v>26</v>
      </c>
      <c r="D163" s="8" t="s">
        <v>14</v>
      </c>
      <c r="E163" s="9">
        <v>640.64</v>
      </c>
      <c r="F163" s="8">
        <v>11.0</v>
      </c>
      <c r="G163" s="8">
        <v>0.2</v>
      </c>
      <c r="H163" s="10">
        <v>45678.0</v>
      </c>
      <c r="I163" s="11">
        <v>205.0</v>
      </c>
    </row>
    <row r="164" ht="15.75" customHeight="1">
      <c r="A164" s="8" t="s">
        <v>24</v>
      </c>
      <c r="B164" s="8" t="s">
        <v>45</v>
      </c>
      <c r="C164" s="8" t="s">
        <v>13</v>
      </c>
      <c r="D164" s="8" t="s">
        <v>17</v>
      </c>
      <c r="E164" s="9">
        <v>585.16</v>
      </c>
      <c r="F164" s="8">
        <v>17.0</v>
      </c>
      <c r="G164" s="8">
        <v>0.1</v>
      </c>
      <c r="H164" s="10">
        <v>45684.0</v>
      </c>
      <c r="I164" s="11">
        <v>263.32</v>
      </c>
    </row>
    <row r="165" ht="15.75" customHeight="1">
      <c r="A165" s="8" t="s">
        <v>24</v>
      </c>
      <c r="B165" s="8" t="s">
        <v>33</v>
      </c>
      <c r="C165" s="8" t="s">
        <v>20</v>
      </c>
      <c r="D165" s="8" t="s">
        <v>17</v>
      </c>
      <c r="E165" s="9">
        <v>1109.98</v>
      </c>
      <c r="F165" s="8">
        <v>5.0</v>
      </c>
      <c r="G165" s="8">
        <v>0.2</v>
      </c>
      <c r="H165" s="10">
        <v>45690.0</v>
      </c>
      <c r="I165" s="11">
        <v>443.99</v>
      </c>
    </row>
    <row r="166" ht="15.75" customHeight="1">
      <c r="A166" s="8" t="s">
        <v>60</v>
      </c>
      <c r="B166" s="8" t="s">
        <v>47</v>
      </c>
      <c r="C166" s="8" t="s">
        <v>20</v>
      </c>
      <c r="D166" s="8" t="s">
        <v>14</v>
      </c>
      <c r="E166" s="9">
        <v>1098.08</v>
      </c>
      <c r="F166" s="8">
        <v>9.0</v>
      </c>
      <c r="G166" s="8">
        <v>0.1</v>
      </c>
      <c r="H166" s="10">
        <v>45692.0</v>
      </c>
      <c r="I166" s="11">
        <v>395.31</v>
      </c>
    </row>
    <row r="167" ht="15.75" customHeight="1">
      <c r="A167" s="8" t="s">
        <v>67</v>
      </c>
      <c r="B167" s="8" t="s">
        <v>50</v>
      </c>
      <c r="C167" s="8" t="s">
        <v>13</v>
      </c>
      <c r="D167" s="8" t="s">
        <v>41</v>
      </c>
      <c r="E167" s="9">
        <v>827.25</v>
      </c>
      <c r="F167" s="8">
        <v>7.0</v>
      </c>
      <c r="G167" s="8">
        <v>0.1</v>
      </c>
      <c r="H167" s="10">
        <v>45693.0</v>
      </c>
      <c r="I167" s="11">
        <v>335.04</v>
      </c>
    </row>
    <row r="168" ht="15.75" customHeight="1">
      <c r="A168" s="8" t="s">
        <v>72</v>
      </c>
      <c r="B168" s="8" t="s">
        <v>31</v>
      </c>
      <c r="C168" s="8" t="s">
        <v>36</v>
      </c>
      <c r="D168" s="8" t="s">
        <v>17</v>
      </c>
      <c r="E168" s="9">
        <v>741.88</v>
      </c>
      <c r="F168" s="8">
        <v>16.0</v>
      </c>
      <c r="G168" s="8">
        <v>0.1</v>
      </c>
      <c r="H168" s="10">
        <v>45695.0</v>
      </c>
      <c r="I168" s="11">
        <v>333.85</v>
      </c>
    </row>
    <row r="169" ht="15.75" customHeight="1">
      <c r="A169" s="8" t="s">
        <v>74</v>
      </c>
      <c r="B169" s="8" t="s">
        <v>12</v>
      </c>
      <c r="C169" s="8" t="s">
        <v>20</v>
      </c>
      <c r="D169" s="8" t="s">
        <v>41</v>
      </c>
      <c r="E169" s="9">
        <v>1311.26</v>
      </c>
      <c r="F169" s="8">
        <v>6.0</v>
      </c>
      <c r="G169" s="8">
        <v>0.1</v>
      </c>
      <c r="H169" s="10">
        <v>45698.0</v>
      </c>
      <c r="I169" s="11">
        <v>531.06</v>
      </c>
    </row>
    <row r="170" ht="15.75" customHeight="1">
      <c r="A170" s="8" t="s">
        <v>74</v>
      </c>
      <c r="B170" s="8" t="s">
        <v>33</v>
      </c>
      <c r="C170" s="8" t="s">
        <v>22</v>
      </c>
      <c r="D170" s="8" t="s">
        <v>41</v>
      </c>
      <c r="E170" s="9">
        <v>573.32</v>
      </c>
      <c r="F170" s="8">
        <v>19.0</v>
      </c>
      <c r="G170" s="8">
        <v>0.1</v>
      </c>
      <c r="H170" s="10">
        <v>45703.0</v>
      </c>
      <c r="I170" s="11">
        <v>232.19</v>
      </c>
    </row>
    <row r="171" ht="15.75" customHeight="1">
      <c r="A171" s="8" t="s">
        <v>54</v>
      </c>
      <c r="B171" s="8" t="s">
        <v>25</v>
      </c>
      <c r="C171" s="8" t="s">
        <v>13</v>
      </c>
      <c r="D171" s="8" t="s">
        <v>23</v>
      </c>
      <c r="E171" s="9">
        <v>1115.22</v>
      </c>
      <c r="F171" s="8">
        <v>14.0</v>
      </c>
      <c r="G171" s="8">
        <v>0.2</v>
      </c>
      <c r="H171" s="10">
        <v>45705.0</v>
      </c>
      <c r="I171" s="11">
        <v>223.04</v>
      </c>
    </row>
    <row r="172" ht="15.75" customHeight="1">
      <c r="A172" s="8" t="s">
        <v>15</v>
      </c>
      <c r="B172" s="8" t="s">
        <v>47</v>
      </c>
      <c r="C172" s="8" t="s">
        <v>26</v>
      </c>
      <c r="D172" s="8" t="s">
        <v>17</v>
      </c>
      <c r="E172" s="9">
        <v>845.84</v>
      </c>
      <c r="F172" s="8">
        <v>4.0</v>
      </c>
      <c r="G172" s="8">
        <v>0.0</v>
      </c>
      <c r="H172" s="10">
        <v>45707.0</v>
      </c>
      <c r="I172" s="11">
        <v>422.92</v>
      </c>
    </row>
    <row r="173" ht="15.75" customHeight="1">
      <c r="A173" s="8" t="s">
        <v>32</v>
      </c>
      <c r="B173" s="8" t="s">
        <v>57</v>
      </c>
      <c r="C173" s="8" t="s">
        <v>13</v>
      </c>
      <c r="D173" s="8" t="s">
        <v>23</v>
      </c>
      <c r="E173" s="9">
        <v>1029.8</v>
      </c>
      <c r="F173" s="8">
        <v>3.0</v>
      </c>
      <c r="G173" s="8">
        <v>0.0</v>
      </c>
      <c r="H173" s="10">
        <v>45708.0</v>
      </c>
      <c r="I173" s="11">
        <v>257.45</v>
      </c>
    </row>
    <row r="174" ht="15.75" customHeight="1">
      <c r="A174" s="8" t="s">
        <v>34</v>
      </c>
      <c r="B174" s="8" t="s">
        <v>33</v>
      </c>
      <c r="C174" s="8" t="s">
        <v>26</v>
      </c>
      <c r="D174" s="8" t="s">
        <v>14</v>
      </c>
      <c r="E174" s="9">
        <v>1189.83</v>
      </c>
      <c r="F174" s="8">
        <v>2.0</v>
      </c>
      <c r="G174" s="8">
        <v>0.2</v>
      </c>
      <c r="H174" s="10">
        <v>45709.0</v>
      </c>
      <c r="I174" s="11">
        <v>380.75</v>
      </c>
    </row>
    <row r="175" ht="15.75" customHeight="1">
      <c r="A175" s="8" t="s">
        <v>69</v>
      </c>
      <c r="B175" s="8" t="s">
        <v>45</v>
      </c>
      <c r="C175" s="8" t="s">
        <v>22</v>
      </c>
      <c r="D175" s="8" t="s">
        <v>14</v>
      </c>
      <c r="E175" s="9">
        <v>704.28</v>
      </c>
      <c r="F175" s="8">
        <v>15.0</v>
      </c>
      <c r="G175" s="8">
        <v>0.2</v>
      </c>
      <c r="H175" s="10">
        <v>45712.0</v>
      </c>
      <c r="I175" s="11">
        <v>225.37</v>
      </c>
    </row>
    <row r="176" ht="15.75" customHeight="1">
      <c r="A176" s="8" t="s">
        <v>67</v>
      </c>
      <c r="B176" s="8" t="s">
        <v>49</v>
      </c>
      <c r="C176" s="8" t="s">
        <v>36</v>
      </c>
      <c r="D176" s="8" t="s">
        <v>41</v>
      </c>
      <c r="E176" s="9">
        <v>1618.22</v>
      </c>
      <c r="F176" s="8">
        <v>12.0</v>
      </c>
      <c r="G176" s="8">
        <v>0.2</v>
      </c>
      <c r="H176" s="10">
        <v>45712.0</v>
      </c>
      <c r="I176" s="11">
        <v>582.56</v>
      </c>
    </row>
    <row r="177" ht="15.75" customHeight="1">
      <c r="A177" s="8" t="s">
        <v>75</v>
      </c>
      <c r="B177" s="8" t="s">
        <v>55</v>
      </c>
      <c r="C177" s="8" t="s">
        <v>36</v>
      </c>
      <c r="D177" s="8" t="s">
        <v>14</v>
      </c>
      <c r="E177" s="9">
        <v>1014.43</v>
      </c>
      <c r="F177" s="8">
        <v>2.0</v>
      </c>
      <c r="G177" s="8">
        <v>0.15</v>
      </c>
      <c r="H177" s="10">
        <v>45713.0</v>
      </c>
      <c r="I177" s="11">
        <v>344.91</v>
      </c>
    </row>
    <row r="178" ht="15.75" customHeight="1">
      <c r="A178" s="8" t="s">
        <v>77</v>
      </c>
      <c r="B178" s="8" t="s">
        <v>33</v>
      </c>
      <c r="C178" s="8" t="s">
        <v>36</v>
      </c>
      <c r="D178" s="8" t="s">
        <v>17</v>
      </c>
      <c r="E178" s="9">
        <v>826.97</v>
      </c>
      <c r="F178" s="8">
        <v>18.0</v>
      </c>
      <c r="G178" s="8">
        <v>0.2</v>
      </c>
      <c r="H178" s="10">
        <v>45715.0</v>
      </c>
      <c r="I178" s="11">
        <v>330.79</v>
      </c>
    </row>
    <row r="179" ht="15.75" customHeight="1">
      <c r="A179" s="8" t="s">
        <v>18</v>
      </c>
      <c r="B179" s="8" t="s">
        <v>33</v>
      </c>
      <c r="C179" s="8" t="s">
        <v>36</v>
      </c>
      <c r="D179" s="8" t="s">
        <v>17</v>
      </c>
      <c r="E179" s="9">
        <v>1022.23</v>
      </c>
      <c r="F179" s="8">
        <v>8.0</v>
      </c>
      <c r="G179" s="8">
        <v>0.1</v>
      </c>
      <c r="H179" s="10">
        <v>45717.0</v>
      </c>
      <c r="I179" s="11">
        <v>460.0</v>
      </c>
    </row>
    <row r="180" ht="15.75" customHeight="1">
      <c r="A180" s="8" t="s">
        <v>74</v>
      </c>
      <c r="B180" s="8" t="s">
        <v>31</v>
      </c>
      <c r="C180" s="8" t="s">
        <v>20</v>
      </c>
      <c r="D180" s="8" t="s">
        <v>14</v>
      </c>
      <c r="E180" s="9">
        <v>1099.69</v>
      </c>
      <c r="F180" s="8">
        <v>6.0</v>
      </c>
      <c r="G180" s="8">
        <v>0.0</v>
      </c>
      <c r="H180" s="10">
        <v>45718.0</v>
      </c>
      <c r="I180" s="11">
        <v>439.88</v>
      </c>
    </row>
    <row r="181" ht="15.75" customHeight="1">
      <c r="A181" s="8" t="s">
        <v>54</v>
      </c>
      <c r="B181" s="8" t="s">
        <v>66</v>
      </c>
      <c r="C181" s="8" t="s">
        <v>26</v>
      </c>
      <c r="D181" s="8" t="s">
        <v>14</v>
      </c>
      <c r="E181" s="9">
        <v>710.52</v>
      </c>
      <c r="F181" s="8">
        <v>8.0</v>
      </c>
      <c r="G181" s="8">
        <v>0.1</v>
      </c>
      <c r="H181" s="10">
        <v>45721.0</v>
      </c>
      <c r="I181" s="11">
        <v>255.79</v>
      </c>
    </row>
    <row r="182" ht="15.75" customHeight="1">
      <c r="A182" s="8" t="s">
        <v>54</v>
      </c>
      <c r="B182" s="8" t="s">
        <v>61</v>
      </c>
      <c r="C182" s="8" t="s">
        <v>26</v>
      </c>
      <c r="D182" s="8" t="s">
        <v>14</v>
      </c>
      <c r="E182" s="9">
        <v>499.18</v>
      </c>
      <c r="F182" s="8">
        <v>15.0</v>
      </c>
      <c r="G182" s="8">
        <v>0.2</v>
      </c>
      <c r="H182" s="10">
        <v>45724.0</v>
      </c>
      <c r="I182" s="11">
        <v>159.74</v>
      </c>
    </row>
    <row r="183" ht="15.75" customHeight="1">
      <c r="A183" s="8" t="s">
        <v>39</v>
      </c>
      <c r="B183" s="8" t="s">
        <v>40</v>
      </c>
      <c r="C183" s="8" t="s">
        <v>22</v>
      </c>
      <c r="D183" s="8" t="s">
        <v>14</v>
      </c>
      <c r="E183" s="9">
        <v>1064.19</v>
      </c>
      <c r="F183" s="8">
        <v>18.0</v>
      </c>
      <c r="G183" s="8">
        <v>0.05</v>
      </c>
      <c r="H183" s="10">
        <v>45725.0</v>
      </c>
      <c r="I183" s="11">
        <v>404.39</v>
      </c>
    </row>
    <row r="184" ht="15.75" customHeight="1">
      <c r="A184" s="8" t="s">
        <v>69</v>
      </c>
      <c r="B184" s="8" t="s">
        <v>40</v>
      </c>
      <c r="C184" s="8" t="s">
        <v>20</v>
      </c>
      <c r="D184" s="8" t="s">
        <v>41</v>
      </c>
      <c r="E184" s="9">
        <v>438.76</v>
      </c>
      <c r="F184" s="8">
        <v>18.0</v>
      </c>
      <c r="G184" s="8">
        <v>0.05</v>
      </c>
      <c r="H184" s="10">
        <v>45726.0</v>
      </c>
      <c r="I184" s="11">
        <v>187.57</v>
      </c>
    </row>
    <row r="185" ht="15.75" customHeight="1">
      <c r="A185" s="8" t="s">
        <v>43</v>
      </c>
      <c r="B185" s="8" t="s">
        <v>57</v>
      </c>
      <c r="C185" s="8" t="s">
        <v>13</v>
      </c>
      <c r="D185" s="8" t="s">
        <v>17</v>
      </c>
      <c r="E185" s="9">
        <v>864.98</v>
      </c>
      <c r="F185" s="8">
        <v>2.0</v>
      </c>
      <c r="G185" s="8">
        <v>0.05</v>
      </c>
      <c r="H185" s="10">
        <v>45727.0</v>
      </c>
      <c r="I185" s="11">
        <v>410.87</v>
      </c>
    </row>
    <row r="186" ht="15.75" customHeight="1">
      <c r="A186" s="8" t="s">
        <v>59</v>
      </c>
      <c r="B186" s="8" t="s">
        <v>57</v>
      </c>
      <c r="C186" s="8" t="s">
        <v>13</v>
      </c>
      <c r="D186" s="8" t="s">
        <v>29</v>
      </c>
      <c r="E186" s="9">
        <v>984.93</v>
      </c>
      <c r="F186" s="8">
        <v>14.0</v>
      </c>
      <c r="G186" s="8">
        <v>0.2</v>
      </c>
      <c r="H186" s="10">
        <v>45733.0</v>
      </c>
      <c r="I186" s="11">
        <v>275.78</v>
      </c>
    </row>
    <row r="187" ht="15.75" customHeight="1">
      <c r="A187" s="8" t="s">
        <v>27</v>
      </c>
      <c r="B187" s="8" t="s">
        <v>57</v>
      </c>
      <c r="C187" s="8" t="s">
        <v>13</v>
      </c>
      <c r="D187" s="8" t="s">
        <v>17</v>
      </c>
      <c r="E187" s="9">
        <v>1493.49</v>
      </c>
      <c r="F187" s="8">
        <v>18.0</v>
      </c>
      <c r="G187" s="8">
        <v>0.0</v>
      </c>
      <c r="H187" s="10">
        <v>45734.0</v>
      </c>
      <c r="I187" s="11">
        <v>746.74</v>
      </c>
    </row>
    <row r="188" ht="15.75" customHeight="1">
      <c r="A188" s="8" t="s">
        <v>34</v>
      </c>
      <c r="B188" s="8" t="s">
        <v>55</v>
      </c>
      <c r="C188" s="8" t="s">
        <v>22</v>
      </c>
      <c r="D188" s="8" t="s">
        <v>17</v>
      </c>
      <c r="E188" s="9">
        <v>689.43</v>
      </c>
      <c r="F188" s="8">
        <v>9.0</v>
      </c>
      <c r="G188" s="8">
        <v>0.1</v>
      </c>
      <c r="H188" s="10">
        <v>45736.0</v>
      </c>
      <c r="I188" s="11">
        <v>310.24</v>
      </c>
    </row>
    <row r="189" ht="15.75" customHeight="1">
      <c r="A189" s="8" t="s">
        <v>42</v>
      </c>
      <c r="B189" s="8" t="s">
        <v>61</v>
      </c>
      <c r="C189" s="8" t="s">
        <v>22</v>
      </c>
      <c r="D189" s="8" t="s">
        <v>17</v>
      </c>
      <c r="E189" s="9">
        <v>682.24</v>
      </c>
      <c r="F189" s="8">
        <v>1.0</v>
      </c>
      <c r="G189" s="8">
        <v>0.0</v>
      </c>
      <c r="H189" s="10">
        <v>45738.0</v>
      </c>
      <c r="I189" s="11">
        <v>341.12</v>
      </c>
    </row>
    <row r="190" ht="15.75" customHeight="1">
      <c r="A190" s="8" t="s">
        <v>43</v>
      </c>
      <c r="B190" s="8" t="s">
        <v>28</v>
      </c>
      <c r="C190" s="8" t="s">
        <v>26</v>
      </c>
      <c r="D190" s="8" t="s">
        <v>23</v>
      </c>
      <c r="E190" s="9">
        <v>458.54</v>
      </c>
      <c r="F190" s="8">
        <v>15.0</v>
      </c>
      <c r="G190" s="8">
        <v>0.2</v>
      </c>
      <c r="H190" s="10">
        <v>45741.0</v>
      </c>
      <c r="I190" s="11">
        <v>91.71</v>
      </c>
    </row>
    <row r="191" ht="15.75" customHeight="1">
      <c r="A191" s="8" t="s">
        <v>34</v>
      </c>
      <c r="B191" s="8" t="s">
        <v>28</v>
      </c>
      <c r="C191" s="8" t="s">
        <v>22</v>
      </c>
      <c r="D191" s="8" t="s">
        <v>29</v>
      </c>
      <c r="E191" s="9">
        <v>1184.25</v>
      </c>
      <c r="F191" s="8">
        <v>11.0</v>
      </c>
      <c r="G191" s="8">
        <v>0.2</v>
      </c>
      <c r="H191" s="10">
        <v>45742.0</v>
      </c>
      <c r="I191" s="11">
        <v>331.59</v>
      </c>
    </row>
    <row r="192" ht="15.75" customHeight="1">
      <c r="A192" s="8" t="s">
        <v>27</v>
      </c>
      <c r="B192" s="8" t="s">
        <v>12</v>
      </c>
      <c r="C192" s="8" t="s">
        <v>22</v>
      </c>
      <c r="D192" s="8" t="s">
        <v>17</v>
      </c>
      <c r="E192" s="9">
        <v>762.14</v>
      </c>
      <c r="F192" s="8">
        <v>9.0</v>
      </c>
      <c r="G192" s="8">
        <v>0.0</v>
      </c>
      <c r="H192" s="10">
        <v>45743.0</v>
      </c>
      <c r="I192" s="11">
        <v>381.07</v>
      </c>
    </row>
    <row r="193" ht="15.75" customHeight="1">
      <c r="A193" s="8" t="s">
        <v>24</v>
      </c>
      <c r="B193" s="8" t="s">
        <v>55</v>
      </c>
      <c r="C193" s="8" t="s">
        <v>26</v>
      </c>
      <c r="D193" s="8" t="s">
        <v>14</v>
      </c>
      <c r="E193" s="9">
        <v>750.71</v>
      </c>
      <c r="F193" s="8">
        <v>10.0</v>
      </c>
      <c r="G193" s="8">
        <v>0.15</v>
      </c>
      <c r="H193" s="10">
        <v>45743.0</v>
      </c>
      <c r="I193" s="11">
        <v>255.24</v>
      </c>
    </row>
    <row r="194" ht="15.75" customHeight="1">
      <c r="A194" s="8" t="s">
        <v>77</v>
      </c>
      <c r="B194" s="8" t="s">
        <v>73</v>
      </c>
      <c r="C194" s="8" t="s">
        <v>36</v>
      </c>
      <c r="D194" s="8" t="s">
        <v>17</v>
      </c>
      <c r="E194" s="9">
        <v>1456.94</v>
      </c>
      <c r="F194" s="8">
        <v>14.0</v>
      </c>
      <c r="G194" s="8">
        <v>0.05</v>
      </c>
      <c r="H194" s="10">
        <v>45745.0</v>
      </c>
      <c r="I194" s="11">
        <v>692.05</v>
      </c>
    </row>
    <row r="195" ht="15.75" customHeight="1">
      <c r="A195" s="8" t="s">
        <v>46</v>
      </c>
      <c r="B195" s="8" t="s">
        <v>63</v>
      </c>
      <c r="C195" s="8" t="s">
        <v>20</v>
      </c>
      <c r="D195" s="8" t="s">
        <v>29</v>
      </c>
      <c r="E195" s="9">
        <v>1093.38</v>
      </c>
      <c r="F195" s="8">
        <v>17.0</v>
      </c>
      <c r="G195" s="8">
        <v>0.1</v>
      </c>
      <c r="H195" s="10">
        <v>45745.0</v>
      </c>
      <c r="I195" s="11">
        <v>344.41</v>
      </c>
    </row>
    <row r="196" ht="15.75" customHeight="1">
      <c r="A196" s="8" t="s">
        <v>39</v>
      </c>
      <c r="B196" s="8" t="s">
        <v>45</v>
      </c>
      <c r="C196" s="8" t="s">
        <v>13</v>
      </c>
      <c r="D196" s="8" t="s">
        <v>17</v>
      </c>
      <c r="E196" s="9">
        <v>934.27</v>
      </c>
      <c r="F196" s="8">
        <v>8.0</v>
      </c>
      <c r="G196" s="8">
        <v>0.15</v>
      </c>
      <c r="H196" s="10">
        <v>45746.0</v>
      </c>
      <c r="I196" s="11">
        <v>397.06</v>
      </c>
    </row>
    <row r="197" ht="15.75" customHeight="1">
      <c r="A197" s="8" t="s">
        <v>72</v>
      </c>
      <c r="B197" s="8" t="s">
        <v>38</v>
      </c>
      <c r="C197" s="8" t="s">
        <v>36</v>
      </c>
      <c r="D197" s="8" t="s">
        <v>17</v>
      </c>
      <c r="E197" s="9">
        <v>1465.35</v>
      </c>
      <c r="F197" s="8">
        <v>8.0</v>
      </c>
      <c r="G197" s="8">
        <v>0.2</v>
      </c>
      <c r="H197" s="10">
        <v>45746.0</v>
      </c>
      <c r="I197" s="11">
        <v>586.14</v>
      </c>
    </row>
    <row r="198" ht="15.75" customHeight="1">
      <c r="A198" s="8" t="s">
        <v>54</v>
      </c>
      <c r="B198" s="8" t="s">
        <v>16</v>
      </c>
      <c r="C198" s="8" t="s">
        <v>22</v>
      </c>
      <c r="D198" s="8" t="s">
        <v>41</v>
      </c>
      <c r="E198" s="9">
        <v>740.8</v>
      </c>
      <c r="F198" s="8">
        <v>3.0</v>
      </c>
      <c r="G198" s="8">
        <v>0.0</v>
      </c>
      <c r="H198" s="10">
        <v>45749.0</v>
      </c>
      <c r="I198" s="11">
        <v>333.36</v>
      </c>
    </row>
    <row r="199" ht="15.75" customHeight="1">
      <c r="A199" s="8" t="s">
        <v>60</v>
      </c>
      <c r="B199" s="8" t="s">
        <v>45</v>
      </c>
      <c r="C199" s="8" t="s">
        <v>13</v>
      </c>
      <c r="D199" s="8" t="s">
        <v>41</v>
      </c>
      <c r="E199" s="9">
        <v>545.44</v>
      </c>
      <c r="F199" s="8">
        <v>17.0</v>
      </c>
      <c r="G199" s="8">
        <v>0.0</v>
      </c>
      <c r="H199" s="10">
        <v>45752.0</v>
      </c>
      <c r="I199" s="11">
        <v>245.45</v>
      </c>
    </row>
    <row r="200" ht="15.75" customHeight="1">
      <c r="A200" s="8" t="s">
        <v>37</v>
      </c>
      <c r="B200" s="8" t="s">
        <v>38</v>
      </c>
      <c r="C200" s="8" t="s">
        <v>20</v>
      </c>
      <c r="D200" s="8" t="s">
        <v>14</v>
      </c>
      <c r="E200" s="9">
        <v>997.61</v>
      </c>
      <c r="F200" s="8">
        <v>8.0</v>
      </c>
      <c r="G200" s="8">
        <v>0.05</v>
      </c>
      <c r="H200" s="10">
        <v>45752.0</v>
      </c>
      <c r="I200" s="11">
        <v>379.09</v>
      </c>
    </row>
    <row r="201" ht="15.75" customHeight="1">
      <c r="A201" s="8" t="s">
        <v>62</v>
      </c>
      <c r="B201" s="8" t="s">
        <v>38</v>
      </c>
      <c r="C201" s="8" t="s">
        <v>22</v>
      </c>
      <c r="D201" s="8" t="s">
        <v>17</v>
      </c>
      <c r="E201" s="9">
        <v>928.32</v>
      </c>
      <c r="F201" s="8">
        <v>2.0</v>
      </c>
      <c r="G201" s="8">
        <v>0.05</v>
      </c>
      <c r="H201" s="10">
        <v>45754.0</v>
      </c>
      <c r="I201" s="11">
        <v>440.95</v>
      </c>
    </row>
    <row r="202" ht="15.75" customHeight="1">
      <c r="E202" s="13"/>
      <c r="I202" s="14"/>
    </row>
    <row r="203" ht="15.75" customHeight="1">
      <c r="E203" s="13"/>
      <c r="I203" s="14"/>
    </row>
    <row r="204" ht="15.75" customHeight="1">
      <c r="E204" s="13"/>
      <c r="I204" s="14"/>
    </row>
    <row r="205" ht="15.75" customHeight="1">
      <c r="E205" s="13"/>
      <c r="I205" s="14"/>
    </row>
    <row r="206" ht="15.75" customHeight="1">
      <c r="E206" s="13"/>
      <c r="I206" s="14"/>
    </row>
    <row r="207" ht="15.75" customHeight="1">
      <c r="E207" s="13"/>
      <c r="I207" s="14"/>
    </row>
    <row r="208" ht="15.75" customHeight="1">
      <c r="E208" s="13"/>
      <c r="I208" s="14"/>
    </row>
    <row r="209" ht="15.75" customHeight="1">
      <c r="E209" s="13"/>
      <c r="I209" s="14"/>
    </row>
    <row r="210" ht="15.75" customHeight="1">
      <c r="E210" s="13"/>
      <c r="I210" s="14"/>
    </row>
    <row r="211" ht="15.75" customHeight="1">
      <c r="E211" s="13"/>
      <c r="I211" s="14"/>
    </row>
    <row r="212" ht="15.75" customHeight="1">
      <c r="E212" s="13"/>
      <c r="I212" s="14"/>
    </row>
    <row r="213" ht="15.75" customHeight="1">
      <c r="E213" s="13"/>
      <c r="I213" s="14"/>
    </row>
    <row r="214" ht="15.75" customHeight="1">
      <c r="E214" s="13"/>
      <c r="I214" s="14"/>
    </row>
    <row r="215" ht="15.75" customHeight="1">
      <c r="E215" s="13"/>
      <c r="I215" s="14"/>
    </row>
    <row r="216" ht="15.75" customHeight="1">
      <c r="E216" s="13"/>
      <c r="I216" s="14"/>
    </row>
    <row r="217" ht="15.75" customHeight="1">
      <c r="E217" s="13"/>
      <c r="I217" s="14"/>
    </row>
    <row r="218" ht="15.75" customHeight="1">
      <c r="E218" s="13"/>
      <c r="I218" s="14"/>
    </row>
    <row r="219" ht="15.75" customHeight="1">
      <c r="E219" s="13"/>
      <c r="I219" s="14"/>
    </row>
    <row r="220" ht="15.75" customHeight="1">
      <c r="E220" s="13"/>
      <c r="I220" s="14"/>
    </row>
    <row r="221" ht="15.75" customHeight="1">
      <c r="E221" s="13"/>
      <c r="I221" s="14"/>
    </row>
    <row r="222" ht="15.75" customHeight="1">
      <c r="E222" s="13"/>
      <c r="I222" s="14"/>
    </row>
    <row r="223" ht="15.75" customHeight="1">
      <c r="E223" s="13"/>
      <c r="I223" s="14"/>
    </row>
    <row r="224" ht="15.75" customHeight="1">
      <c r="E224" s="13"/>
      <c r="I224" s="14"/>
    </row>
    <row r="225" ht="15.75" customHeight="1">
      <c r="E225" s="13"/>
      <c r="I225" s="14"/>
    </row>
    <row r="226" ht="15.75" customHeight="1">
      <c r="E226" s="13"/>
      <c r="I226" s="14"/>
    </row>
    <row r="227" ht="15.75" customHeight="1">
      <c r="E227" s="13"/>
      <c r="I227" s="14"/>
    </row>
    <row r="228" ht="15.75" customHeight="1">
      <c r="E228" s="13"/>
      <c r="I228" s="14"/>
    </row>
    <row r="229" ht="15.75" customHeight="1">
      <c r="E229" s="13"/>
      <c r="I229" s="14"/>
    </row>
    <row r="230" ht="15.75" customHeight="1">
      <c r="E230" s="13"/>
      <c r="I230" s="14"/>
    </row>
    <row r="231" ht="15.75" customHeight="1">
      <c r="E231" s="13"/>
      <c r="I231" s="14"/>
    </row>
    <row r="232" ht="15.75" customHeight="1">
      <c r="E232" s="13"/>
      <c r="I232" s="14"/>
    </row>
    <row r="233" ht="15.75" customHeight="1">
      <c r="E233" s="13"/>
      <c r="I233" s="14"/>
    </row>
    <row r="234" ht="15.75" customHeight="1">
      <c r="E234" s="13"/>
      <c r="I234" s="14"/>
    </row>
    <row r="235" ht="15.75" customHeight="1">
      <c r="E235" s="13"/>
      <c r="I235" s="14"/>
    </row>
    <row r="236" ht="15.75" customHeight="1">
      <c r="E236" s="13"/>
      <c r="I236" s="14"/>
    </row>
    <row r="237" ht="15.75" customHeight="1">
      <c r="E237" s="13"/>
      <c r="I237" s="14"/>
    </row>
    <row r="238" ht="15.75" customHeight="1">
      <c r="E238" s="13"/>
      <c r="I238" s="14"/>
    </row>
    <row r="239" ht="15.75" customHeight="1">
      <c r="E239" s="13"/>
      <c r="I239" s="14"/>
    </row>
    <row r="240" ht="15.75" customHeight="1">
      <c r="E240" s="13"/>
      <c r="I240" s="14"/>
    </row>
    <row r="241" ht="15.75" customHeight="1">
      <c r="E241" s="13"/>
      <c r="I241" s="14"/>
    </row>
    <row r="242" ht="15.75" customHeight="1">
      <c r="E242" s="13"/>
      <c r="I242" s="14"/>
    </row>
    <row r="243" ht="15.75" customHeight="1">
      <c r="E243" s="13"/>
      <c r="I243" s="14"/>
    </row>
    <row r="244" ht="15.75" customHeight="1">
      <c r="E244" s="13"/>
      <c r="I244" s="14"/>
    </row>
    <row r="245" ht="15.75" customHeight="1">
      <c r="E245" s="13"/>
      <c r="I245" s="14"/>
    </row>
    <row r="246" ht="15.75" customHeight="1">
      <c r="E246" s="13"/>
      <c r="I246" s="14"/>
    </row>
    <row r="247" ht="15.75" customHeight="1">
      <c r="E247" s="13"/>
      <c r="I247" s="14"/>
    </row>
    <row r="248" ht="15.75" customHeight="1">
      <c r="E248" s="13"/>
      <c r="I248" s="14"/>
    </row>
    <row r="249" ht="15.75" customHeight="1">
      <c r="E249" s="13"/>
      <c r="I249" s="14"/>
    </row>
    <row r="250" ht="15.75" customHeight="1">
      <c r="E250" s="13"/>
      <c r="I250" s="14"/>
    </row>
    <row r="251" ht="15.75" customHeight="1">
      <c r="E251" s="13"/>
      <c r="I251" s="14"/>
    </row>
    <row r="252" ht="15.75" customHeight="1">
      <c r="E252" s="13"/>
      <c r="I252" s="14"/>
    </row>
    <row r="253" ht="15.75" customHeight="1">
      <c r="E253" s="13"/>
      <c r="I253" s="14"/>
    </row>
    <row r="254" ht="15.75" customHeight="1">
      <c r="E254" s="13"/>
      <c r="I254" s="14"/>
    </row>
    <row r="255" ht="15.75" customHeight="1">
      <c r="E255" s="13"/>
      <c r="I255" s="14"/>
    </row>
    <row r="256" ht="15.75" customHeight="1">
      <c r="E256" s="13"/>
      <c r="I256" s="14"/>
    </row>
    <row r="257" ht="15.75" customHeight="1">
      <c r="E257" s="13"/>
      <c r="I257" s="14"/>
    </row>
    <row r="258" ht="15.75" customHeight="1">
      <c r="E258" s="13"/>
      <c r="I258" s="14"/>
    </row>
    <row r="259" ht="15.75" customHeight="1">
      <c r="E259" s="13"/>
      <c r="I259" s="14"/>
    </row>
    <row r="260" ht="15.75" customHeight="1">
      <c r="E260" s="13"/>
      <c r="I260" s="14"/>
    </row>
    <row r="261" ht="15.75" customHeight="1">
      <c r="E261" s="13"/>
      <c r="I261" s="14"/>
    </row>
    <row r="262" ht="15.75" customHeight="1">
      <c r="E262" s="13"/>
      <c r="I262" s="14"/>
    </row>
    <row r="263" ht="15.75" customHeight="1">
      <c r="E263" s="13"/>
      <c r="I263" s="14"/>
    </row>
    <row r="264" ht="15.75" customHeight="1">
      <c r="E264" s="13"/>
      <c r="I264" s="14"/>
    </row>
    <row r="265" ht="15.75" customHeight="1">
      <c r="E265" s="13"/>
      <c r="I265" s="14"/>
    </row>
    <row r="266" ht="15.75" customHeight="1">
      <c r="E266" s="13"/>
      <c r="I266" s="14"/>
    </row>
    <row r="267" ht="15.75" customHeight="1">
      <c r="E267" s="13"/>
      <c r="I267" s="14"/>
    </row>
    <row r="268" ht="15.75" customHeight="1">
      <c r="E268" s="13"/>
      <c r="I268" s="14"/>
    </row>
    <row r="269" ht="15.75" customHeight="1">
      <c r="E269" s="13"/>
      <c r="I269" s="14"/>
    </row>
    <row r="270" ht="15.75" customHeight="1">
      <c r="E270" s="13"/>
      <c r="I270" s="14"/>
    </row>
    <row r="271" ht="15.75" customHeight="1">
      <c r="E271" s="13"/>
      <c r="I271" s="14"/>
    </row>
    <row r="272" ht="15.75" customHeight="1">
      <c r="E272" s="13"/>
      <c r="I272" s="14"/>
    </row>
    <row r="273" ht="15.75" customHeight="1">
      <c r="E273" s="13"/>
      <c r="I273" s="14"/>
    </row>
    <row r="274" ht="15.75" customHeight="1">
      <c r="E274" s="13"/>
      <c r="I274" s="14"/>
    </row>
    <row r="275" ht="15.75" customHeight="1">
      <c r="E275" s="13"/>
      <c r="I275" s="14"/>
    </row>
    <row r="276" ht="15.75" customHeight="1">
      <c r="E276" s="13"/>
      <c r="I276" s="14"/>
    </row>
    <row r="277" ht="15.75" customHeight="1">
      <c r="E277" s="13"/>
      <c r="I277" s="14"/>
    </row>
    <row r="278" ht="15.75" customHeight="1">
      <c r="E278" s="13"/>
      <c r="I278" s="14"/>
    </row>
    <row r="279" ht="15.75" customHeight="1">
      <c r="E279" s="13"/>
      <c r="I279" s="14"/>
    </row>
    <row r="280" ht="15.75" customHeight="1">
      <c r="E280" s="13"/>
      <c r="I280" s="14"/>
    </row>
    <row r="281" ht="15.75" customHeight="1">
      <c r="E281" s="13"/>
      <c r="I281" s="14"/>
    </row>
    <row r="282" ht="15.75" customHeight="1">
      <c r="E282" s="13"/>
      <c r="I282" s="14"/>
    </row>
    <row r="283" ht="15.75" customHeight="1">
      <c r="E283" s="13"/>
      <c r="I283" s="14"/>
    </row>
    <row r="284" ht="15.75" customHeight="1">
      <c r="E284" s="13"/>
      <c r="I284" s="14"/>
    </row>
    <row r="285" ht="15.75" customHeight="1">
      <c r="E285" s="13"/>
      <c r="I285" s="14"/>
    </row>
    <row r="286" ht="15.75" customHeight="1">
      <c r="E286" s="13"/>
      <c r="I286" s="14"/>
    </row>
    <row r="287" ht="15.75" customHeight="1">
      <c r="E287" s="13"/>
      <c r="I287" s="14"/>
    </row>
    <row r="288" ht="15.75" customHeight="1">
      <c r="E288" s="13"/>
      <c r="I288" s="14"/>
    </row>
    <row r="289" ht="15.75" customHeight="1">
      <c r="E289" s="13"/>
      <c r="I289" s="14"/>
    </row>
    <row r="290" ht="15.75" customHeight="1">
      <c r="E290" s="13"/>
      <c r="I290" s="14"/>
    </row>
    <row r="291" ht="15.75" customHeight="1">
      <c r="E291" s="13"/>
      <c r="I291" s="14"/>
    </row>
    <row r="292" ht="15.75" customHeight="1">
      <c r="E292" s="13"/>
      <c r="I292" s="14"/>
    </row>
    <row r="293" ht="15.75" customHeight="1">
      <c r="E293" s="13"/>
      <c r="I293" s="14"/>
    </row>
    <row r="294" ht="15.75" customHeight="1">
      <c r="E294" s="13"/>
      <c r="I294" s="14"/>
    </row>
    <row r="295" ht="15.75" customHeight="1">
      <c r="E295" s="13"/>
      <c r="I295" s="14"/>
    </row>
    <row r="296" ht="15.75" customHeight="1">
      <c r="E296" s="13"/>
      <c r="I296" s="14"/>
    </row>
    <row r="297" ht="15.75" customHeight="1">
      <c r="E297" s="13"/>
      <c r="I297" s="14"/>
    </row>
    <row r="298" ht="15.75" customHeight="1">
      <c r="E298" s="13"/>
      <c r="I298" s="14"/>
    </row>
    <row r="299" ht="15.75" customHeight="1">
      <c r="E299" s="13"/>
      <c r="I299" s="14"/>
    </row>
    <row r="300" ht="15.75" customHeight="1">
      <c r="E300" s="13"/>
      <c r="I300" s="14"/>
    </row>
    <row r="301" ht="15.75" customHeight="1">
      <c r="E301" s="13"/>
      <c r="I301" s="14"/>
    </row>
    <row r="302" ht="15.75" customHeight="1">
      <c r="E302" s="13"/>
      <c r="I302" s="14"/>
    </row>
    <row r="303" ht="15.75" customHeight="1">
      <c r="E303" s="13"/>
      <c r="I303" s="14"/>
    </row>
    <row r="304" ht="15.75" customHeight="1">
      <c r="E304" s="13"/>
      <c r="I304" s="14"/>
    </row>
    <row r="305" ht="15.75" customHeight="1">
      <c r="E305" s="13"/>
      <c r="I305" s="14"/>
    </row>
    <row r="306" ht="15.75" customHeight="1">
      <c r="E306" s="13"/>
      <c r="I306" s="14"/>
    </row>
    <row r="307" ht="15.75" customHeight="1">
      <c r="E307" s="13"/>
      <c r="I307" s="14"/>
    </row>
    <row r="308" ht="15.75" customHeight="1">
      <c r="E308" s="13"/>
      <c r="I308" s="14"/>
    </row>
    <row r="309" ht="15.75" customHeight="1">
      <c r="E309" s="13"/>
      <c r="I309" s="14"/>
    </row>
    <row r="310" ht="15.75" customHeight="1">
      <c r="E310" s="13"/>
      <c r="I310" s="14"/>
    </row>
    <row r="311" ht="15.75" customHeight="1">
      <c r="E311" s="13"/>
      <c r="I311" s="14"/>
    </row>
    <row r="312" ht="15.75" customHeight="1">
      <c r="E312" s="13"/>
      <c r="I312" s="14"/>
    </row>
    <row r="313" ht="15.75" customHeight="1">
      <c r="E313" s="13"/>
      <c r="I313" s="14"/>
    </row>
    <row r="314" ht="15.75" customHeight="1">
      <c r="E314" s="13"/>
      <c r="I314" s="14"/>
    </row>
    <row r="315" ht="15.75" customHeight="1">
      <c r="E315" s="13"/>
      <c r="I315" s="14"/>
    </row>
    <row r="316" ht="15.75" customHeight="1">
      <c r="E316" s="13"/>
      <c r="I316" s="14"/>
    </row>
    <row r="317" ht="15.75" customHeight="1">
      <c r="E317" s="13"/>
      <c r="I317" s="14"/>
    </row>
    <row r="318" ht="15.75" customHeight="1">
      <c r="E318" s="13"/>
      <c r="I318" s="14"/>
    </row>
    <row r="319" ht="15.75" customHeight="1">
      <c r="E319" s="13"/>
      <c r="I319" s="14"/>
    </row>
    <row r="320" ht="15.75" customHeight="1">
      <c r="E320" s="13"/>
      <c r="I320" s="14"/>
    </row>
    <row r="321" ht="15.75" customHeight="1">
      <c r="E321" s="13"/>
      <c r="I321" s="14"/>
    </row>
    <row r="322" ht="15.75" customHeight="1">
      <c r="E322" s="13"/>
      <c r="I322" s="14"/>
    </row>
    <row r="323" ht="15.75" customHeight="1">
      <c r="E323" s="13"/>
      <c r="I323" s="14"/>
    </row>
    <row r="324" ht="15.75" customHeight="1">
      <c r="E324" s="13"/>
      <c r="I324" s="14"/>
    </row>
    <row r="325" ht="15.75" customHeight="1">
      <c r="E325" s="13"/>
      <c r="I325" s="14"/>
    </row>
    <row r="326" ht="15.75" customHeight="1">
      <c r="E326" s="13"/>
      <c r="I326" s="14"/>
    </row>
    <row r="327" ht="15.75" customHeight="1">
      <c r="E327" s="13"/>
      <c r="I327" s="14"/>
    </row>
    <row r="328" ht="15.75" customHeight="1">
      <c r="E328" s="13"/>
      <c r="I328" s="14"/>
    </row>
    <row r="329" ht="15.75" customHeight="1">
      <c r="E329" s="13"/>
      <c r="I329" s="14"/>
    </row>
    <row r="330" ht="15.75" customHeight="1">
      <c r="E330" s="13"/>
      <c r="I330" s="14"/>
    </row>
    <row r="331" ht="15.75" customHeight="1">
      <c r="E331" s="13"/>
      <c r="I331" s="14"/>
    </row>
    <row r="332" ht="15.75" customHeight="1">
      <c r="E332" s="13"/>
      <c r="I332" s="14"/>
    </row>
    <row r="333" ht="15.75" customHeight="1">
      <c r="E333" s="13"/>
      <c r="I333" s="14"/>
    </row>
    <row r="334" ht="15.75" customHeight="1">
      <c r="E334" s="13"/>
      <c r="I334" s="14"/>
    </row>
    <row r="335" ht="15.75" customHeight="1">
      <c r="E335" s="13"/>
      <c r="I335" s="14"/>
    </row>
    <row r="336" ht="15.75" customHeight="1">
      <c r="E336" s="13"/>
      <c r="I336" s="14"/>
    </row>
    <row r="337" ht="15.75" customHeight="1">
      <c r="E337" s="13"/>
      <c r="I337" s="14"/>
    </row>
    <row r="338" ht="15.75" customHeight="1">
      <c r="E338" s="13"/>
      <c r="I338" s="14"/>
    </row>
    <row r="339" ht="15.75" customHeight="1">
      <c r="E339" s="13"/>
      <c r="I339" s="14"/>
    </row>
    <row r="340" ht="15.75" customHeight="1">
      <c r="E340" s="13"/>
      <c r="I340" s="14"/>
    </row>
    <row r="341" ht="15.75" customHeight="1">
      <c r="E341" s="13"/>
      <c r="I341" s="14"/>
    </row>
    <row r="342" ht="15.75" customHeight="1">
      <c r="E342" s="13"/>
      <c r="I342" s="14"/>
    </row>
    <row r="343" ht="15.75" customHeight="1">
      <c r="E343" s="13"/>
      <c r="I343" s="14"/>
    </row>
    <row r="344" ht="15.75" customHeight="1">
      <c r="E344" s="13"/>
      <c r="I344" s="14"/>
    </row>
    <row r="345" ht="15.75" customHeight="1">
      <c r="E345" s="13"/>
      <c r="I345" s="14"/>
    </row>
    <row r="346" ht="15.75" customHeight="1">
      <c r="E346" s="13"/>
      <c r="I346" s="14"/>
    </row>
    <row r="347" ht="15.75" customHeight="1">
      <c r="E347" s="13"/>
      <c r="I347" s="14"/>
    </row>
    <row r="348" ht="15.75" customHeight="1">
      <c r="E348" s="13"/>
      <c r="I348" s="14"/>
    </row>
    <row r="349" ht="15.75" customHeight="1">
      <c r="E349" s="13"/>
      <c r="I349" s="14"/>
    </row>
    <row r="350" ht="15.75" customHeight="1">
      <c r="E350" s="13"/>
      <c r="I350" s="14"/>
    </row>
    <row r="351" ht="15.75" customHeight="1">
      <c r="E351" s="13"/>
      <c r="I351" s="14"/>
    </row>
    <row r="352" ht="15.75" customHeight="1">
      <c r="E352" s="13"/>
      <c r="I352" s="14"/>
    </row>
    <row r="353" ht="15.75" customHeight="1">
      <c r="E353" s="13"/>
      <c r="I353" s="14"/>
    </row>
    <row r="354" ht="15.75" customHeight="1">
      <c r="E354" s="13"/>
      <c r="I354" s="14"/>
    </row>
    <row r="355" ht="15.75" customHeight="1">
      <c r="E355" s="13"/>
      <c r="I355" s="14"/>
    </row>
    <row r="356" ht="15.75" customHeight="1">
      <c r="E356" s="13"/>
      <c r="I356" s="14"/>
    </row>
    <row r="357" ht="15.75" customHeight="1">
      <c r="E357" s="13"/>
      <c r="I357" s="14"/>
    </row>
    <row r="358" ht="15.75" customHeight="1">
      <c r="E358" s="13"/>
      <c r="I358" s="14"/>
    </row>
    <row r="359" ht="15.75" customHeight="1">
      <c r="E359" s="13"/>
      <c r="I359" s="14"/>
    </row>
    <row r="360" ht="15.75" customHeight="1">
      <c r="E360" s="13"/>
      <c r="I360" s="14"/>
    </row>
    <row r="361" ht="15.75" customHeight="1">
      <c r="E361" s="13"/>
      <c r="I361" s="14"/>
    </row>
    <row r="362" ht="15.75" customHeight="1">
      <c r="E362" s="13"/>
      <c r="I362" s="14"/>
    </row>
    <row r="363" ht="15.75" customHeight="1">
      <c r="E363" s="13"/>
      <c r="I363" s="14"/>
    </row>
    <row r="364" ht="15.75" customHeight="1">
      <c r="E364" s="13"/>
      <c r="I364" s="14"/>
    </row>
    <row r="365" ht="15.75" customHeight="1">
      <c r="E365" s="13"/>
      <c r="I365" s="14"/>
    </row>
    <row r="366" ht="15.75" customHeight="1">
      <c r="E366" s="13"/>
      <c r="I366" s="14"/>
    </row>
    <row r="367" ht="15.75" customHeight="1">
      <c r="E367" s="13"/>
      <c r="I367" s="14"/>
    </row>
    <row r="368" ht="15.75" customHeight="1">
      <c r="E368" s="13"/>
      <c r="I368" s="14"/>
    </row>
    <row r="369" ht="15.75" customHeight="1">
      <c r="E369" s="13"/>
      <c r="I369" s="14"/>
    </row>
    <row r="370" ht="15.75" customHeight="1">
      <c r="E370" s="13"/>
      <c r="I370" s="14"/>
    </row>
    <row r="371" ht="15.75" customHeight="1">
      <c r="E371" s="13"/>
      <c r="I371" s="14"/>
    </row>
    <row r="372" ht="15.75" customHeight="1">
      <c r="E372" s="13"/>
      <c r="I372" s="14"/>
    </row>
    <row r="373" ht="15.75" customHeight="1">
      <c r="E373" s="13"/>
      <c r="I373" s="14"/>
    </row>
    <row r="374" ht="15.75" customHeight="1">
      <c r="E374" s="13"/>
      <c r="I374" s="14"/>
    </row>
    <row r="375" ht="15.75" customHeight="1">
      <c r="E375" s="13"/>
      <c r="I375" s="14"/>
    </row>
    <row r="376" ht="15.75" customHeight="1">
      <c r="E376" s="13"/>
      <c r="I376" s="14"/>
    </row>
    <row r="377" ht="15.75" customHeight="1">
      <c r="E377" s="13"/>
      <c r="I377" s="14"/>
    </row>
    <row r="378" ht="15.75" customHeight="1">
      <c r="E378" s="13"/>
      <c r="I378" s="14"/>
    </row>
    <row r="379" ht="15.75" customHeight="1">
      <c r="E379" s="13"/>
      <c r="I379" s="14"/>
    </row>
    <row r="380" ht="15.75" customHeight="1">
      <c r="E380" s="13"/>
      <c r="I380" s="14"/>
    </row>
    <row r="381" ht="15.75" customHeight="1">
      <c r="E381" s="13"/>
      <c r="I381" s="14"/>
    </row>
    <row r="382" ht="15.75" customHeight="1">
      <c r="E382" s="13"/>
      <c r="I382" s="14"/>
    </row>
    <row r="383" ht="15.75" customHeight="1">
      <c r="E383" s="13"/>
      <c r="I383" s="14"/>
    </row>
    <row r="384" ht="15.75" customHeight="1">
      <c r="E384" s="13"/>
      <c r="I384" s="14"/>
    </row>
    <row r="385" ht="15.75" customHeight="1">
      <c r="E385" s="13"/>
      <c r="I385" s="14"/>
    </row>
    <row r="386" ht="15.75" customHeight="1">
      <c r="E386" s="13"/>
      <c r="I386" s="14"/>
    </row>
    <row r="387" ht="15.75" customHeight="1">
      <c r="E387" s="13"/>
      <c r="I387" s="14"/>
    </row>
    <row r="388" ht="15.75" customHeight="1">
      <c r="E388" s="13"/>
      <c r="I388" s="14"/>
    </row>
    <row r="389" ht="15.75" customHeight="1">
      <c r="E389" s="13"/>
      <c r="I389" s="14"/>
    </row>
    <row r="390" ht="15.75" customHeight="1">
      <c r="E390" s="13"/>
      <c r="I390" s="14"/>
    </row>
    <row r="391" ht="15.75" customHeight="1">
      <c r="E391" s="13"/>
      <c r="I391" s="14"/>
    </row>
    <row r="392" ht="15.75" customHeight="1">
      <c r="E392" s="13"/>
      <c r="I392" s="14"/>
    </row>
    <row r="393" ht="15.75" customHeight="1">
      <c r="E393" s="13"/>
      <c r="I393" s="14"/>
    </row>
    <row r="394" ht="15.75" customHeight="1">
      <c r="E394" s="13"/>
      <c r="I394" s="14"/>
    </row>
    <row r="395" ht="15.75" customHeight="1">
      <c r="E395" s="13"/>
      <c r="I395" s="14"/>
    </row>
    <row r="396" ht="15.75" customHeight="1">
      <c r="E396" s="13"/>
      <c r="I396" s="14"/>
    </row>
    <row r="397" ht="15.75" customHeight="1">
      <c r="E397" s="13"/>
      <c r="I397" s="14"/>
    </row>
    <row r="398" ht="15.75" customHeight="1">
      <c r="E398" s="13"/>
      <c r="I398" s="14"/>
    </row>
    <row r="399" ht="15.75" customHeight="1">
      <c r="E399" s="13"/>
      <c r="I399" s="14"/>
    </row>
    <row r="400" ht="15.75" customHeight="1">
      <c r="E400" s="13"/>
      <c r="I400" s="14"/>
    </row>
    <row r="401" ht="15.75" customHeight="1">
      <c r="E401" s="13"/>
      <c r="I401" s="14"/>
    </row>
    <row r="402" ht="15.75" customHeight="1">
      <c r="E402" s="13"/>
      <c r="I402" s="14"/>
    </row>
    <row r="403" ht="15.75" customHeight="1">
      <c r="E403" s="13"/>
      <c r="I403" s="14"/>
    </row>
    <row r="404" ht="15.75" customHeight="1">
      <c r="E404" s="13"/>
      <c r="I404" s="14"/>
    </row>
    <row r="405" ht="15.75" customHeight="1">
      <c r="E405" s="13"/>
      <c r="I405" s="14"/>
    </row>
    <row r="406" ht="15.75" customHeight="1">
      <c r="E406" s="13"/>
      <c r="I406" s="14"/>
    </row>
    <row r="407" ht="15.75" customHeight="1">
      <c r="E407" s="13"/>
      <c r="I407" s="14"/>
    </row>
    <row r="408" ht="15.75" customHeight="1">
      <c r="E408" s="13"/>
      <c r="I408" s="14"/>
    </row>
    <row r="409" ht="15.75" customHeight="1">
      <c r="E409" s="13"/>
      <c r="I409" s="14"/>
    </row>
    <row r="410" ht="15.75" customHeight="1">
      <c r="E410" s="13"/>
      <c r="I410" s="14"/>
    </row>
    <row r="411" ht="15.75" customHeight="1">
      <c r="E411" s="13"/>
      <c r="I411" s="14"/>
    </row>
    <row r="412" ht="15.75" customHeight="1">
      <c r="E412" s="13"/>
      <c r="I412" s="14"/>
    </row>
    <row r="413" ht="15.75" customHeight="1">
      <c r="E413" s="13"/>
      <c r="I413" s="14"/>
    </row>
    <row r="414" ht="15.75" customHeight="1">
      <c r="E414" s="13"/>
      <c r="I414" s="14"/>
    </row>
    <row r="415" ht="15.75" customHeight="1">
      <c r="E415" s="13"/>
      <c r="I415" s="14"/>
    </row>
    <row r="416" ht="15.75" customHeight="1">
      <c r="E416" s="13"/>
      <c r="I416" s="14"/>
    </row>
    <row r="417" ht="15.75" customHeight="1">
      <c r="E417" s="13"/>
      <c r="I417" s="14"/>
    </row>
    <row r="418" ht="15.75" customHeight="1">
      <c r="E418" s="13"/>
      <c r="I418" s="14"/>
    </row>
    <row r="419" ht="15.75" customHeight="1">
      <c r="E419" s="13"/>
      <c r="I419" s="14"/>
    </row>
    <row r="420" ht="15.75" customHeight="1">
      <c r="E420" s="13"/>
      <c r="I420" s="14"/>
    </row>
    <row r="421" ht="15.75" customHeight="1">
      <c r="E421" s="13"/>
      <c r="I421" s="14"/>
    </row>
    <row r="422" ht="15.75" customHeight="1">
      <c r="E422" s="13"/>
      <c r="I422" s="14"/>
    </row>
    <row r="423" ht="15.75" customHeight="1">
      <c r="E423" s="13"/>
      <c r="I423" s="14"/>
    </row>
    <row r="424" ht="15.75" customHeight="1">
      <c r="E424" s="13"/>
      <c r="I424" s="14"/>
    </row>
    <row r="425" ht="15.75" customHeight="1">
      <c r="E425" s="13"/>
      <c r="I425" s="14"/>
    </row>
    <row r="426" ht="15.75" customHeight="1">
      <c r="E426" s="13"/>
      <c r="I426" s="14"/>
    </row>
    <row r="427" ht="15.75" customHeight="1">
      <c r="E427" s="13"/>
      <c r="I427" s="14"/>
    </row>
    <row r="428" ht="15.75" customHeight="1">
      <c r="E428" s="13"/>
      <c r="I428" s="14"/>
    </row>
    <row r="429" ht="15.75" customHeight="1">
      <c r="E429" s="13"/>
      <c r="I429" s="14"/>
    </row>
    <row r="430" ht="15.75" customHeight="1">
      <c r="E430" s="13"/>
      <c r="I430" s="14"/>
    </row>
    <row r="431" ht="15.75" customHeight="1">
      <c r="E431" s="13"/>
      <c r="I431" s="14"/>
    </row>
    <row r="432" ht="15.75" customHeight="1">
      <c r="E432" s="13"/>
      <c r="I432" s="14"/>
    </row>
    <row r="433" ht="15.75" customHeight="1">
      <c r="E433" s="13"/>
      <c r="I433" s="14"/>
    </row>
    <row r="434" ht="15.75" customHeight="1">
      <c r="E434" s="13"/>
      <c r="I434" s="14"/>
    </row>
    <row r="435" ht="15.75" customHeight="1">
      <c r="E435" s="13"/>
      <c r="I435" s="14"/>
    </row>
    <row r="436" ht="15.75" customHeight="1">
      <c r="E436" s="13"/>
      <c r="I436" s="14"/>
    </row>
    <row r="437" ht="15.75" customHeight="1">
      <c r="E437" s="13"/>
      <c r="I437" s="14"/>
    </row>
    <row r="438" ht="15.75" customHeight="1">
      <c r="E438" s="13"/>
      <c r="I438" s="14"/>
    </row>
    <row r="439" ht="15.75" customHeight="1">
      <c r="E439" s="13"/>
      <c r="I439" s="14"/>
    </row>
    <row r="440" ht="15.75" customHeight="1">
      <c r="E440" s="13"/>
      <c r="I440" s="14"/>
    </row>
    <row r="441" ht="15.75" customHeight="1">
      <c r="E441" s="13"/>
      <c r="I441" s="14"/>
    </row>
    <row r="442" ht="15.75" customHeight="1">
      <c r="E442" s="13"/>
      <c r="I442" s="14"/>
    </row>
    <row r="443" ht="15.75" customHeight="1">
      <c r="E443" s="13"/>
      <c r="I443" s="14"/>
    </row>
    <row r="444" ht="15.75" customHeight="1">
      <c r="E444" s="13"/>
      <c r="I444" s="14"/>
    </row>
    <row r="445" ht="15.75" customHeight="1">
      <c r="E445" s="13"/>
      <c r="I445" s="14"/>
    </row>
    <row r="446" ht="15.75" customHeight="1">
      <c r="E446" s="13"/>
      <c r="I446" s="14"/>
    </row>
    <row r="447" ht="15.75" customHeight="1">
      <c r="E447" s="13"/>
      <c r="I447" s="14"/>
    </row>
    <row r="448" ht="15.75" customHeight="1">
      <c r="E448" s="13"/>
      <c r="I448" s="14"/>
    </row>
    <row r="449" ht="15.75" customHeight="1">
      <c r="E449" s="13"/>
      <c r="I449" s="14"/>
    </row>
    <row r="450" ht="15.75" customHeight="1">
      <c r="E450" s="13"/>
      <c r="I450" s="14"/>
    </row>
    <row r="451" ht="15.75" customHeight="1">
      <c r="E451" s="13"/>
      <c r="I451" s="14"/>
    </row>
    <row r="452" ht="15.75" customHeight="1">
      <c r="E452" s="13"/>
      <c r="I452" s="14"/>
    </row>
    <row r="453" ht="15.75" customHeight="1">
      <c r="E453" s="13"/>
      <c r="I453" s="14"/>
    </row>
    <row r="454" ht="15.75" customHeight="1">
      <c r="E454" s="13"/>
      <c r="I454" s="14"/>
    </row>
    <row r="455" ht="15.75" customHeight="1">
      <c r="E455" s="13"/>
      <c r="I455" s="14"/>
    </row>
    <row r="456" ht="15.75" customHeight="1">
      <c r="E456" s="13"/>
      <c r="I456" s="14"/>
    </row>
    <row r="457" ht="15.75" customHeight="1">
      <c r="E457" s="13"/>
      <c r="I457" s="14"/>
    </row>
    <row r="458" ht="15.75" customHeight="1">
      <c r="E458" s="13"/>
      <c r="I458" s="14"/>
    </row>
    <row r="459" ht="15.75" customHeight="1">
      <c r="E459" s="13"/>
      <c r="I459" s="14"/>
    </row>
    <row r="460" ht="15.75" customHeight="1">
      <c r="E460" s="13"/>
      <c r="I460" s="14"/>
    </row>
    <row r="461" ht="15.75" customHeight="1">
      <c r="E461" s="13"/>
      <c r="I461" s="14"/>
    </row>
    <row r="462" ht="15.75" customHeight="1">
      <c r="E462" s="13"/>
      <c r="I462" s="14"/>
    </row>
    <row r="463" ht="15.75" customHeight="1">
      <c r="E463" s="13"/>
      <c r="I463" s="14"/>
    </row>
    <row r="464" ht="15.75" customHeight="1">
      <c r="E464" s="13"/>
      <c r="I464" s="14"/>
    </row>
    <row r="465" ht="15.75" customHeight="1">
      <c r="E465" s="13"/>
      <c r="I465" s="14"/>
    </row>
    <row r="466" ht="15.75" customHeight="1">
      <c r="E466" s="13"/>
      <c r="I466" s="14"/>
    </row>
    <row r="467" ht="15.75" customHeight="1">
      <c r="E467" s="13"/>
      <c r="I467" s="14"/>
    </row>
    <row r="468" ht="15.75" customHeight="1">
      <c r="E468" s="13"/>
      <c r="I468" s="14"/>
    </row>
    <row r="469" ht="15.75" customHeight="1">
      <c r="E469" s="13"/>
      <c r="I469" s="14"/>
    </row>
    <row r="470" ht="15.75" customHeight="1">
      <c r="E470" s="13"/>
      <c r="I470" s="14"/>
    </row>
    <row r="471" ht="15.75" customHeight="1">
      <c r="E471" s="13"/>
      <c r="I471" s="14"/>
    </row>
    <row r="472" ht="15.75" customHeight="1">
      <c r="E472" s="13"/>
      <c r="I472" s="14"/>
    </row>
    <row r="473" ht="15.75" customHeight="1">
      <c r="E473" s="13"/>
      <c r="I473" s="14"/>
    </row>
    <row r="474" ht="15.75" customHeight="1">
      <c r="E474" s="13"/>
      <c r="I474" s="14"/>
    </row>
    <row r="475" ht="15.75" customHeight="1">
      <c r="E475" s="13"/>
      <c r="I475" s="14"/>
    </row>
    <row r="476" ht="15.75" customHeight="1">
      <c r="E476" s="13"/>
      <c r="I476" s="14"/>
    </row>
    <row r="477" ht="15.75" customHeight="1">
      <c r="E477" s="13"/>
      <c r="I477" s="14"/>
    </row>
    <row r="478" ht="15.75" customHeight="1">
      <c r="E478" s="13"/>
      <c r="I478" s="14"/>
    </row>
    <row r="479" ht="15.75" customHeight="1">
      <c r="E479" s="13"/>
      <c r="I479" s="14"/>
    </row>
    <row r="480" ht="15.75" customHeight="1">
      <c r="E480" s="13"/>
      <c r="I480" s="14"/>
    </row>
    <row r="481" ht="15.75" customHeight="1">
      <c r="E481" s="13"/>
      <c r="I481" s="14"/>
    </row>
    <row r="482" ht="15.75" customHeight="1">
      <c r="E482" s="13"/>
      <c r="I482" s="14"/>
    </row>
    <row r="483" ht="15.75" customHeight="1">
      <c r="E483" s="13"/>
      <c r="I483" s="14"/>
    </row>
    <row r="484" ht="15.75" customHeight="1">
      <c r="E484" s="13"/>
      <c r="I484" s="14"/>
    </row>
    <row r="485" ht="15.75" customHeight="1">
      <c r="E485" s="13"/>
      <c r="I485" s="14"/>
    </row>
    <row r="486" ht="15.75" customHeight="1">
      <c r="E486" s="13"/>
      <c r="I486" s="14"/>
    </row>
    <row r="487" ht="15.75" customHeight="1">
      <c r="E487" s="13"/>
      <c r="I487" s="14"/>
    </row>
    <row r="488" ht="15.75" customHeight="1">
      <c r="E488" s="13"/>
      <c r="I488" s="14"/>
    </row>
    <row r="489" ht="15.75" customHeight="1">
      <c r="E489" s="13"/>
      <c r="I489" s="14"/>
    </row>
    <row r="490" ht="15.75" customHeight="1">
      <c r="E490" s="13"/>
      <c r="I490" s="14"/>
    </row>
    <row r="491" ht="15.75" customHeight="1">
      <c r="E491" s="13"/>
      <c r="I491" s="14"/>
    </row>
    <row r="492" ht="15.75" customHeight="1">
      <c r="E492" s="13"/>
      <c r="I492" s="14"/>
    </row>
    <row r="493" ht="15.75" customHeight="1">
      <c r="E493" s="13"/>
      <c r="I493" s="14"/>
    </row>
    <row r="494" ht="15.75" customHeight="1">
      <c r="E494" s="13"/>
      <c r="I494" s="14"/>
    </row>
    <row r="495" ht="15.75" customHeight="1">
      <c r="E495" s="13"/>
      <c r="I495" s="14"/>
    </row>
    <row r="496" ht="15.75" customHeight="1">
      <c r="E496" s="13"/>
      <c r="I496" s="14"/>
    </row>
    <row r="497" ht="15.75" customHeight="1">
      <c r="E497" s="13"/>
      <c r="I497" s="14"/>
    </row>
    <row r="498" ht="15.75" customHeight="1">
      <c r="E498" s="13"/>
      <c r="I498" s="14"/>
    </row>
    <row r="499" ht="15.75" customHeight="1">
      <c r="E499" s="13"/>
      <c r="I499" s="14"/>
    </row>
    <row r="500" ht="15.75" customHeight="1">
      <c r="E500" s="13"/>
      <c r="I500" s="14"/>
    </row>
    <row r="501" ht="15.75" customHeight="1">
      <c r="E501" s="13"/>
      <c r="I501" s="14"/>
    </row>
    <row r="502" ht="15.75" customHeight="1">
      <c r="E502" s="13"/>
      <c r="I502" s="14"/>
    </row>
    <row r="503" ht="15.75" customHeight="1">
      <c r="E503" s="13"/>
      <c r="I503" s="14"/>
    </row>
    <row r="504" ht="15.75" customHeight="1">
      <c r="E504" s="13"/>
      <c r="I504" s="14"/>
    </row>
    <row r="505" ht="15.75" customHeight="1">
      <c r="E505" s="13"/>
      <c r="I505" s="14"/>
    </row>
    <row r="506" ht="15.75" customHeight="1">
      <c r="E506" s="13"/>
      <c r="I506" s="14"/>
    </row>
    <row r="507" ht="15.75" customHeight="1">
      <c r="E507" s="13"/>
      <c r="I507" s="14"/>
    </row>
    <row r="508" ht="15.75" customHeight="1">
      <c r="E508" s="13"/>
      <c r="I508" s="14"/>
    </row>
    <row r="509" ht="15.75" customHeight="1">
      <c r="E509" s="13"/>
      <c r="I509" s="14"/>
    </row>
    <row r="510" ht="15.75" customHeight="1">
      <c r="E510" s="13"/>
      <c r="I510" s="14"/>
    </row>
    <row r="511" ht="15.75" customHeight="1">
      <c r="E511" s="13"/>
      <c r="I511" s="14"/>
    </row>
    <row r="512" ht="15.75" customHeight="1">
      <c r="E512" s="13"/>
      <c r="I512" s="14"/>
    </row>
    <row r="513" ht="15.75" customHeight="1">
      <c r="E513" s="13"/>
      <c r="I513" s="14"/>
    </row>
    <row r="514" ht="15.75" customHeight="1">
      <c r="E514" s="13"/>
      <c r="I514" s="14"/>
    </row>
    <row r="515" ht="15.75" customHeight="1">
      <c r="E515" s="13"/>
      <c r="I515" s="14"/>
    </row>
    <row r="516" ht="15.75" customHeight="1">
      <c r="E516" s="13"/>
      <c r="I516" s="14"/>
    </row>
    <row r="517" ht="15.75" customHeight="1">
      <c r="E517" s="13"/>
      <c r="I517" s="14"/>
    </row>
    <row r="518" ht="15.75" customHeight="1">
      <c r="E518" s="13"/>
      <c r="I518" s="14"/>
    </row>
    <row r="519" ht="15.75" customHeight="1">
      <c r="E519" s="13"/>
      <c r="I519" s="14"/>
    </row>
    <row r="520" ht="15.75" customHeight="1">
      <c r="E520" s="13"/>
      <c r="I520" s="14"/>
    </row>
    <row r="521" ht="15.75" customHeight="1">
      <c r="E521" s="13"/>
      <c r="I521" s="14"/>
    </row>
    <row r="522" ht="15.75" customHeight="1">
      <c r="E522" s="13"/>
      <c r="I522" s="14"/>
    </row>
    <row r="523" ht="15.75" customHeight="1">
      <c r="E523" s="13"/>
      <c r="I523" s="14"/>
    </row>
    <row r="524" ht="15.75" customHeight="1">
      <c r="E524" s="13"/>
      <c r="I524" s="14"/>
    </row>
    <row r="525" ht="15.75" customHeight="1">
      <c r="E525" s="13"/>
      <c r="I525" s="14"/>
    </row>
    <row r="526" ht="15.75" customHeight="1">
      <c r="E526" s="13"/>
      <c r="I526" s="14"/>
    </row>
    <row r="527" ht="15.75" customHeight="1">
      <c r="E527" s="13"/>
      <c r="I527" s="14"/>
    </row>
    <row r="528" ht="15.75" customHeight="1">
      <c r="E528" s="13"/>
      <c r="I528" s="14"/>
    </row>
    <row r="529" ht="15.75" customHeight="1">
      <c r="E529" s="13"/>
      <c r="I529" s="14"/>
    </row>
    <row r="530" ht="15.75" customHeight="1">
      <c r="E530" s="13"/>
      <c r="I530" s="14"/>
    </row>
    <row r="531" ht="15.75" customHeight="1">
      <c r="E531" s="13"/>
      <c r="I531" s="14"/>
    </row>
    <row r="532" ht="15.75" customHeight="1">
      <c r="E532" s="13"/>
      <c r="I532" s="14"/>
    </row>
    <row r="533" ht="15.75" customHeight="1">
      <c r="E533" s="13"/>
      <c r="I533" s="14"/>
    </row>
    <row r="534" ht="15.75" customHeight="1">
      <c r="E534" s="13"/>
      <c r="I534" s="14"/>
    </row>
    <row r="535" ht="15.75" customHeight="1">
      <c r="E535" s="13"/>
      <c r="I535" s="14"/>
    </row>
    <row r="536" ht="15.75" customHeight="1">
      <c r="E536" s="13"/>
      <c r="I536" s="14"/>
    </row>
    <row r="537" ht="15.75" customHeight="1">
      <c r="E537" s="13"/>
      <c r="I537" s="14"/>
    </row>
    <row r="538" ht="15.75" customHeight="1">
      <c r="E538" s="13"/>
      <c r="I538" s="14"/>
    </row>
    <row r="539" ht="15.75" customHeight="1">
      <c r="E539" s="13"/>
      <c r="I539" s="14"/>
    </row>
    <row r="540" ht="15.75" customHeight="1">
      <c r="E540" s="13"/>
      <c r="I540" s="14"/>
    </row>
    <row r="541" ht="15.75" customHeight="1">
      <c r="E541" s="13"/>
      <c r="I541" s="14"/>
    </row>
    <row r="542" ht="15.75" customHeight="1">
      <c r="E542" s="13"/>
      <c r="I542" s="14"/>
    </row>
    <row r="543" ht="15.75" customHeight="1">
      <c r="E543" s="13"/>
      <c r="I543" s="14"/>
    </row>
    <row r="544" ht="15.75" customHeight="1">
      <c r="E544" s="13"/>
      <c r="I544" s="14"/>
    </row>
    <row r="545" ht="15.75" customHeight="1">
      <c r="E545" s="13"/>
      <c r="I545" s="14"/>
    </row>
    <row r="546" ht="15.75" customHeight="1">
      <c r="E546" s="13"/>
      <c r="I546" s="14"/>
    </row>
    <row r="547" ht="15.75" customHeight="1">
      <c r="E547" s="13"/>
      <c r="I547" s="14"/>
    </row>
    <row r="548" ht="15.75" customHeight="1">
      <c r="E548" s="13"/>
      <c r="I548" s="14"/>
    </row>
    <row r="549" ht="15.75" customHeight="1">
      <c r="E549" s="13"/>
      <c r="I549" s="14"/>
    </row>
    <row r="550" ht="15.75" customHeight="1">
      <c r="E550" s="13"/>
      <c r="I550" s="14"/>
    </row>
    <row r="551" ht="15.75" customHeight="1">
      <c r="E551" s="13"/>
      <c r="I551" s="14"/>
    </row>
    <row r="552" ht="15.75" customHeight="1">
      <c r="E552" s="13"/>
      <c r="I552" s="14"/>
    </row>
    <row r="553" ht="15.75" customHeight="1">
      <c r="E553" s="13"/>
      <c r="I553" s="14"/>
    </row>
    <row r="554" ht="15.75" customHeight="1">
      <c r="E554" s="13"/>
      <c r="I554" s="14"/>
    </row>
    <row r="555" ht="15.75" customHeight="1">
      <c r="E555" s="13"/>
      <c r="I555" s="14"/>
    </row>
    <row r="556" ht="15.75" customHeight="1">
      <c r="E556" s="13"/>
      <c r="I556" s="14"/>
    </row>
    <row r="557" ht="15.75" customHeight="1">
      <c r="E557" s="13"/>
      <c r="I557" s="14"/>
    </row>
    <row r="558" ht="15.75" customHeight="1">
      <c r="E558" s="13"/>
      <c r="I558" s="14"/>
    </row>
    <row r="559" ht="15.75" customHeight="1">
      <c r="E559" s="13"/>
      <c r="I559" s="14"/>
    </row>
    <row r="560" ht="15.75" customHeight="1">
      <c r="E560" s="13"/>
      <c r="I560" s="14"/>
    </row>
    <row r="561" ht="15.75" customHeight="1">
      <c r="E561" s="13"/>
      <c r="I561" s="14"/>
    </row>
    <row r="562" ht="15.75" customHeight="1">
      <c r="E562" s="13"/>
      <c r="I562" s="14"/>
    </row>
    <row r="563" ht="15.75" customHeight="1">
      <c r="E563" s="13"/>
      <c r="I563" s="14"/>
    </row>
    <row r="564" ht="15.75" customHeight="1">
      <c r="E564" s="13"/>
      <c r="I564" s="14"/>
    </row>
    <row r="565" ht="15.75" customHeight="1">
      <c r="E565" s="13"/>
      <c r="I565" s="14"/>
    </row>
    <row r="566" ht="15.75" customHeight="1">
      <c r="E566" s="13"/>
      <c r="I566" s="14"/>
    </row>
    <row r="567" ht="15.75" customHeight="1">
      <c r="E567" s="13"/>
      <c r="I567" s="14"/>
    </row>
    <row r="568" ht="15.75" customHeight="1">
      <c r="E568" s="13"/>
      <c r="I568" s="14"/>
    </row>
    <row r="569" ht="15.75" customHeight="1">
      <c r="E569" s="13"/>
      <c r="I569" s="14"/>
    </row>
    <row r="570" ht="15.75" customHeight="1">
      <c r="E570" s="13"/>
      <c r="I570" s="14"/>
    </row>
    <row r="571" ht="15.75" customHeight="1">
      <c r="E571" s="13"/>
      <c r="I571" s="14"/>
    </row>
    <row r="572" ht="15.75" customHeight="1">
      <c r="E572" s="13"/>
      <c r="I572" s="14"/>
    </row>
    <row r="573" ht="15.75" customHeight="1">
      <c r="E573" s="13"/>
      <c r="I573" s="14"/>
    </row>
    <row r="574" ht="15.75" customHeight="1">
      <c r="E574" s="13"/>
      <c r="I574" s="14"/>
    </row>
    <row r="575" ht="15.75" customHeight="1">
      <c r="E575" s="13"/>
      <c r="I575" s="14"/>
    </row>
    <row r="576" ht="15.75" customHeight="1">
      <c r="E576" s="13"/>
      <c r="I576" s="14"/>
    </row>
    <row r="577" ht="15.75" customHeight="1">
      <c r="E577" s="13"/>
      <c r="I577" s="14"/>
    </row>
    <row r="578" ht="15.75" customHeight="1">
      <c r="E578" s="13"/>
      <c r="I578" s="14"/>
    </row>
    <row r="579" ht="15.75" customHeight="1">
      <c r="E579" s="13"/>
      <c r="I579" s="14"/>
    </row>
    <row r="580" ht="15.75" customHeight="1">
      <c r="E580" s="13"/>
      <c r="I580" s="14"/>
    </row>
    <row r="581" ht="15.75" customHeight="1">
      <c r="E581" s="13"/>
      <c r="I581" s="14"/>
    </row>
    <row r="582" ht="15.75" customHeight="1">
      <c r="E582" s="13"/>
      <c r="I582" s="14"/>
    </row>
    <row r="583" ht="15.75" customHeight="1">
      <c r="E583" s="13"/>
      <c r="I583" s="14"/>
    </row>
    <row r="584" ht="15.75" customHeight="1">
      <c r="E584" s="13"/>
      <c r="I584" s="14"/>
    </row>
    <row r="585" ht="15.75" customHeight="1">
      <c r="E585" s="13"/>
      <c r="I585" s="14"/>
    </row>
    <row r="586" ht="15.75" customHeight="1">
      <c r="E586" s="13"/>
      <c r="I586" s="14"/>
    </row>
    <row r="587" ht="15.75" customHeight="1">
      <c r="E587" s="13"/>
      <c r="I587" s="14"/>
    </row>
    <row r="588" ht="15.75" customHeight="1">
      <c r="E588" s="13"/>
      <c r="I588" s="14"/>
    </row>
    <row r="589" ht="15.75" customHeight="1">
      <c r="E589" s="13"/>
      <c r="I589" s="14"/>
    </row>
    <row r="590" ht="15.75" customHeight="1">
      <c r="E590" s="13"/>
      <c r="I590" s="14"/>
    </row>
    <row r="591" ht="15.75" customHeight="1">
      <c r="E591" s="13"/>
      <c r="I591" s="14"/>
    </row>
    <row r="592" ht="15.75" customHeight="1">
      <c r="E592" s="13"/>
      <c r="I592" s="14"/>
    </row>
    <row r="593" ht="15.75" customHeight="1">
      <c r="E593" s="13"/>
      <c r="I593" s="14"/>
    </row>
    <row r="594" ht="15.75" customHeight="1">
      <c r="E594" s="13"/>
      <c r="I594" s="14"/>
    </row>
    <row r="595" ht="15.75" customHeight="1">
      <c r="E595" s="13"/>
      <c r="I595" s="14"/>
    </row>
    <row r="596" ht="15.75" customHeight="1">
      <c r="E596" s="13"/>
      <c r="I596" s="14"/>
    </row>
    <row r="597" ht="15.75" customHeight="1">
      <c r="E597" s="13"/>
      <c r="I597" s="14"/>
    </row>
    <row r="598" ht="15.75" customHeight="1">
      <c r="E598" s="13"/>
      <c r="I598" s="14"/>
    </row>
    <row r="599" ht="15.75" customHeight="1">
      <c r="E599" s="13"/>
      <c r="I599" s="14"/>
    </row>
    <row r="600" ht="15.75" customHeight="1">
      <c r="E600" s="13"/>
      <c r="I600" s="14"/>
    </row>
    <row r="601" ht="15.75" customHeight="1">
      <c r="E601" s="13"/>
      <c r="I601" s="14"/>
    </row>
    <row r="602" ht="15.75" customHeight="1">
      <c r="E602" s="13"/>
      <c r="I602" s="14"/>
    </row>
    <row r="603" ht="15.75" customHeight="1">
      <c r="E603" s="13"/>
      <c r="I603" s="14"/>
    </row>
    <row r="604" ht="15.75" customHeight="1">
      <c r="E604" s="13"/>
      <c r="I604" s="14"/>
    </row>
    <row r="605" ht="15.75" customHeight="1">
      <c r="E605" s="13"/>
      <c r="I605" s="14"/>
    </row>
    <row r="606" ht="15.75" customHeight="1">
      <c r="E606" s="13"/>
      <c r="I606" s="14"/>
    </row>
    <row r="607" ht="15.75" customHeight="1">
      <c r="E607" s="13"/>
      <c r="I607" s="14"/>
    </row>
    <row r="608" ht="15.75" customHeight="1">
      <c r="E608" s="13"/>
      <c r="I608" s="14"/>
    </row>
    <row r="609" ht="15.75" customHeight="1">
      <c r="E609" s="13"/>
      <c r="I609" s="14"/>
    </row>
    <row r="610" ht="15.75" customHeight="1">
      <c r="E610" s="13"/>
      <c r="I610" s="14"/>
    </row>
    <row r="611" ht="15.75" customHeight="1">
      <c r="E611" s="13"/>
      <c r="I611" s="14"/>
    </row>
    <row r="612" ht="15.75" customHeight="1">
      <c r="E612" s="13"/>
      <c r="I612" s="14"/>
    </row>
    <row r="613" ht="15.75" customHeight="1">
      <c r="E613" s="13"/>
      <c r="I613" s="14"/>
    </row>
    <row r="614" ht="15.75" customHeight="1">
      <c r="E614" s="13"/>
      <c r="I614" s="14"/>
    </row>
    <row r="615" ht="15.75" customHeight="1">
      <c r="E615" s="13"/>
      <c r="I615" s="14"/>
    </row>
    <row r="616" ht="15.75" customHeight="1">
      <c r="E616" s="13"/>
      <c r="I616" s="14"/>
    </row>
    <row r="617" ht="15.75" customHeight="1">
      <c r="E617" s="13"/>
      <c r="I617" s="14"/>
    </row>
    <row r="618" ht="15.75" customHeight="1">
      <c r="E618" s="13"/>
      <c r="I618" s="14"/>
    </row>
    <row r="619" ht="15.75" customHeight="1">
      <c r="E619" s="13"/>
      <c r="I619" s="14"/>
    </row>
    <row r="620" ht="15.75" customHeight="1">
      <c r="E620" s="13"/>
      <c r="I620" s="14"/>
    </row>
    <row r="621" ht="15.75" customHeight="1">
      <c r="E621" s="13"/>
      <c r="I621" s="14"/>
    </row>
    <row r="622" ht="15.75" customHeight="1">
      <c r="E622" s="13"/>
      <c r="I622" s="14"/>
    </row>
    <row r="623" ht="15.75" customHeight="1">
      <c r="E623" s="13"/>
      <c r="I623" s="14"/>
    </row>
    <row r="624" ht="15.75" customHeight="1">
      <c r="E624" s="13"/>
      <c r="I624" s="14"/>
    </row>
    <row r="625" ht="15.75" customHeight="1">
      <c r="E625" s="13"/>
      <c r="I625" s="14"/>
    </row>
    <row r="626" ht="15.75" customHeight="1">
      <c r="E626" s="13"/>
      <c r="I626" s="14"/>
    </row>
    <row r="627" ht="15.75" customHeight="1">
      <c r="E627" s="13"/>
      <c r="I627" s="14"/>
    </row>
    <row r="628" ht="15.75" customHeight="1">
      <c r="E628" s="13"/>
      <c r="I628" s="14"/>
    </row>
    <row r="629" ht="15.75" customHeight="1">
      <c r="E629" s="13"/>
      <c r="I629" s="14"/>
    </row>
    <row r="630" ht="15.75" customHeight="1">
      <c r="E630" s="13"/>
      <c r="I630" s="14"/>
    </row>
    <row r="631" ht="15.75" customHeight="1">
      <c r="E631" s="13"/>
      <c r="I631" s="14"/>
    </row>
    <row r="632" ht="15.75" customHeight="1">
      <c r="E632" s="13"/>
      <c r="I632" s="14"/>
    </row>
    <row r="633" ht="15.75" customHeight="1">
      <c r="E633" s="13"/>
      <c r="I633" s="14"/>
    </row>
    <row r="634" ht="15.75" customHeight="1">
      <c r="E634" s="13"/>
      <c r="I634" s="14"/>
    </row>
    <row r="635" ht="15.75" customHeight="1">
      <c r="E635" s="13"/>
      <c r="I635" s="14"/>
    </row>
    <row r="636" ht="15.75" customHeight="1">
      <c r="E636" s="13"/>
      <c r="I636" s="14"/>
    </row>
    <row r="637" ht="15.75" customHeight="1">
      <c r="E637" s="13"/>
      <c r="I637" s="14"/>
    </row>
    <row r="638" ht="15.75" customHeight="1">
      <c r="E638" s="13"/>
      <c r="I638" s="14"/>
    </row>
    <row r="639" ht="15.75" customHeight="1">
      <c r="E639" s="13"/>
      <c r="I639" s="14"/>
    </row>
    <row r="640" ht="15.75" customHeight="1">
      <c r="E640" s="13"/>
      <c r="I640" s="14"/>
    </row>
    <row r="641" ht="15.75" customHeight="1">
      <c r="E641" s="13"/>
      <c r="I641" s="14"/>
    </row>
    <row r="642" ht="15.75" customHeight="1">
      <c r="E642" s="13"/>
      <c r="I642" s="14"/>
    </row>
    <row r="643" ht="15.75" customHeight="1">
      <c r="E643" s="13"/>
      <c r="I643" s="14"/>
    </row>
    <row r="644" ht="15.75" customHeight="1">
      <c r="E644" s="13"/>
      <c r="I644" s="14"/>
    </row>
    <row r="645" ht="15.75" customHeight="1">
      <c r="E645" s="13"/>
      <c r="I645" s="14"/>
    </row>
    <row r="646" ht="15.75" customHeight="1">
      <c r="E646" s="13"/>
      <c r="I646" s="14"/>
    </row>
    <row r="647" ht="15.75" customHeight="1">
      <c r="E647" s="13"/>
      <c r="I647" s="14"/>
    </row>
    <row r="648" ht="15.75" customHeight="1">
      <c r="E648" s="13"/>
      <c r="I648" s="14"/>
    </row>
    <row r="649" ht="15.75" customHeight="1">
      <c r="E649" s="13"/>
      <c r="I649" s="14"/>
    </row>
    <row r="650" ht="15.75" customHeight="1">
      <c r="E650" s="13"/>
      <c r="I650" s="14"/>
    </row>
    <row r="651" ht="15.75" customHeight="1">
      <c r="E651" s="13"/>
      <c r="I651" s="14"/>
    </row>
    <row r="652" ht="15.75" customHeight="1">
      <c r="E652" s="13"/>
      <c r="I652" s="14"/>
    </row>
    <row r="653" ht="15.75" customHeight="1">
      <c r="E653" s="13"/>
      <c r="I653" s="14"/>
    </row>
    <row r="654" ht="15.75" customHeight="1">
      <c r="E654" s="13"/>
      <c r="I654" s="14"/>
    </row>
    <row r="655" ht="15.75" customHeight="1">
      <c r="E655" s="13"/>
      <c r="I655" s="14"/>
    </row>
    <row r="656" ht="15.75" customHeight="1">
      <c r="E656" s="13"/>
      <c r="I656" s="14"/>
    </row>
    <row r="657" ht="15.75" customHeight="1">
      <c r="E657" s="13"/>
      <c r="I657" s="14"/>
    </row>
    <row r="658" ht="15.75" customHeight="1">
      <c r="E658" s="13"/>
      <c r="I658" s="14"/>
    </row>
    <row r="659" ht="15.75" customHeight="1">
      <c r="E659" s="13"/>
      <c r="I659" s="14"/>
    </row>
    <row r="660" ht="15.75" customHeight="1">
      <c r="E660" s="13"/>
      <c r="I660" s="14"/>
    </row>
    <row r="661" ht="15.75" customHeight="1">
      <c r="E661" s="13"/>
      <c r="I661" s="14"/>
    </row>
    <row r="662" ht="15.75" customHeight="1">
      <c r="E662" s="13"/>
      <c r="I662" s="14"/>
    </row>
    <row r="663" ht="15.75" customHeight="1">
      <c r="E663" s="13"/>
      <c r="I663" s="14"/>
    </row>
    <row r="664" ht="15.75" customHeight="1">
      <c r="E664" s="13"/>
      <c r="I664" s="14"/>
    </row>
    <row r="665" ht="15.75" customHeight="1">
      <c r="E665" s="13"/>
      <c r="I665" s="14"/>
    </row>
    <row r="666" ht="15.75" customHeight="1">
      <c r="E666" s="13"/>
      <c r="I666" s="14"/>
    </row>
    <row r="667" ht="15.75" customHeight="1">
      <c r="E667" s="13"/>
      <c r="I667" s="14"/>
    </row>
    <row r="668" ht="15.75" customHeight="1">
      <c r="E668" s="13"/>
      <c r="I668" s="14"/>
    </row>
    <row r="669" ht="15.75" customHeight="1">
      <c r="E669" s="13"/>
      <c r="I669" s="14"/>
    </row>
    <row r="670" ht="15.75" customHeight="1">
      <c r="E670" s="13"/>
      <c r="I670" s="14"/>
    </row>
    <row r="671" ht="15.75" customHeight="1">
      <c r="E671" s="13"/>
      <c r="I671" s="14"/>
    </row>
    <row r="672" ht="15.75" customHeight="1">
      <c r="E672" s="13"/>
      <c r="I672" s="14"/>
    </row>
    <row r="673" ht="15.75" customHeight="1">
      <c r="E673" s="13"/>
      <c r="I673" s="14"/>
    </row>
    <row r="674" ht="15.75" customHeight="1">
      <c r="E674" s="13"/>
      <c r="I674" s="14"/>
    </row>
    <row r="675" ht="15.75" customHeight="1">
      <c r="E675" s="13"/>
      <c r="I675" s="14"/>
    </row>
    <row r="676" ht="15.75" customHeight="1">
      <c r="E676" s="13"/>
      <c r="I676" s="14"/>
    </row>
    <row r="677" ht="15.75" customHeight="1">
      <c r="E677" s="13"/>
      <c r="I677" s="14"/>
    </row>
    <row r="678" ht="15.75" customHeight="1">
      <c r="E678" s="13"/>
      <c r="I678" s="14"/>
    </row>
    <row r="679" ht="15.75" customHeight="1">
      <c r="E679" s="13"/>
      <c r="I679" s="14"/>
    </row>
    <row r="680" ht="15.75" customHeight="1">
      <c r="E680" s="13"/>
      <c r="I680" s="14"/>
    </row>
    <row r="681" ht="15.75" customHeight="1">
      <c r="E681" s="13"/>
      <c r="I681" s="14"/>
    </row>
    <row r="682" ht="15.75" customHeight="1">
      <c r="E682" s="13"/>
      <c r="I682" s="14"/>
    </row>
    <row r="683" ht="15.75" customHeight="1">
      <c r="E683" s="13"/>
      <c r="I683" s="14"/>
    </row>
    <row r="684" ht="15.75" customHeight="1">
      <c r="E684" s="13"/>
      <c r="I684" s="14"/>
    </row>
    <row r="685" ht="15.75" customHeight="1">
      <c r="E685" s="13"/>
      <c r="I685" s="14"/>
    </row>
    <row r="686" ht="15.75" customHeight="1">
      <c r="E686" s="13"/>
      <c r="I686" s="14"/>
    </row>
    <row r="687" ht="15.75" customHeight="1">
      <c r="E687" s="13"/>
      <c r="I687" s="14"/>
    </row>
    <row r="688" ht="15.75" customHeight="1">
      <c r="E688" s="13"/>
      <c r="I688" s="14"/>
    </row>
    <row r="689" ht="15.75" customHeight="1">
      <c r="E689" s="13"/>
      <c r="I689" s="14"/>
    </row>
    <row r="690" ht="15.75" customHeight="1">
      <c r="E690" s="13"/>
      <c r="I690" s="14"/>
    </row>
    <row r="691" ht="15.75" customHeight="1">
      <c r="E691" s="13"/>
      <c r="I691" s="14"/>
    </row>
    <row r="692" ht="15.75" customHeight="1">
      <c r="E692" s="13"/>
      <c r="I692" s="14"/>
    </row>
    <row r="693" ht="15.75" customHeight="1">
      <c r="E693" s="13"/>
      <c r="I693" s="14"/>
    </row>
    <row r="694" ht="15.75" customHeight="1">
      <c r="E694" s="13"/>
      <c r="I694" s="14"/>
    </row>
    <row r="695" ht="15.75" customHeight="1">
      <c r="E695" s="13"/>
      <c r="I695" s="14"/>
    </row>
    <row r="696" ht="15.75" customHeight="1">
      <c r="E696" s="13"/>
      <c r="I696" s="14"/>
    </row>
    <row r="697" ht="15.75" customHeight="1">
      <c r="E697" s="13"/>
      <c r="I697" s="14"/>
    </row>
    <row r="698" ht="15.75" customHeight="1">
      <c r="E698" s="13"/>
      <c r="I698" s="14"/>
    </row>
    <row r="699" ht="15.75" customHeight="1">
      <c r="E699" s="13"/>
      <c r="I699" s="14"/>
    </row>
    <row r="700" ht="15.75" customHeight="1">
      <c r="E700" s="13"/>
      <c r="I700" s="14"/>
    </row>
    <row r="701" ht="15.75" customHeight="1">
      <c r="E701" s="13"/>
      <c r="I701" s="14"/>
    </row>
    <row r="702" ht="15.75" customHeight="1">
      <c r="E702" s="13"/>
      <c r="I702" s="14"/>
    </row>
    <row r="703" ht="15.75" customHeight="1">
      <c r="E703" s="13"/>
      <c r="I703" s="14"/>
    </row>
    <row r="704" ht="15.75" customHeight="1">
      <c r="E704" s="13"/>
      <c r="I704" s="14"/>
    </row>
    <row r="705" ht="15.75" customHeight="1">
      <c r="E705" s="13"/>
      <c r="I705" s="14"/>
    </row>
    <row r="706" ht="15.75" customHeight="1">
      <c r="E706" s="13"/>
      <c r="I706" s="14"/>
    </row>
    <row r="707" ht="15.75" customHeight="1">
      <c r="E707" s="13"/>
      <c r="I707" s="14"/>
    </row>
    <row r="708" ht="15.75" customHeight="1">
      <c r="E708" s="13"/>
      <c r="I708" s="14"/>
    </row>
    <row r="709" ht="15.75" customHeight="1">
      <c r="E709" s="13"/>
      <c r="I709" s="14"/>
    </row>
    <row r="710" ht="15.75" customHeight="1">
      <c r="E710" s="13"/>
      <c r="I710" s="14"/>
    </row>
    <row r="711" ht="15.75" customHeight="1">
      <c r="E711" s="13"/>
      <c r="I711" s="14"/>
    </row>
    <row r="712" ht="15.75" customHeight="1">
      <c r="E712" s="13"/>
      <c r="I712" s="14"/>
    </row>
    <row r="713" ht="15.75" customHeight="1">
      <c r="E713" s="13"/>
      <c r="I713" s="14"/>
    </row>
    <row r="714" ht="15.75" customHeight="1">
      <c r="E714" s="13"/>
      <c r="I714" s="14"/>
    </row>
    <row r="715" ht="15.75" customHeight="1">
      <c r="E715" s="13"/>
      <c r="I715" s="14"/>
    </row>
    <row r="716" ht="15.75" customHeight="1">
      <c r="E716" s="13"/>
      <c r="I716" s="14"/>
    </row>
    <row r="717" ht="15.75" customHeight="1">
      <c r="E717" s="13"/>
      <c r="I717" s="14"/>
    </row>
    <row r="718" ht="15.75" customHeight="1">
      <c r="E718" s="13"/>
      <c r="I718" s="14"/>
    </row>
    <row r="719" ht="15.75" customHeight="1">
      <c r="E719" s="13"/>
      <c r="I719" s="14"/>
    </row>
    <row r="720" ht="15.75" customHeight="1">
      <c r="E720" s="13"/>
      <c r="I720" s="14"/>
    </row>
    <row r="721" ht="15.75" customHeight="1">
      <c r="E721" s="13"/>
      <c r="I721" s="14"/>
    </row>
    <row r="722" ht="15.75" customHeight="1">
      <c r="E722" s="13"/>
      <c r="I722" s="14"/>
    </row>
    <row r="723" ht="15.75" customHeight="1">
      <c r="E723" s="13"/>
      <c r="I723" s="14"/>
    </row>
    <row r="724" ht="15.75" customHeight="1">
      <c r="E724" s="13"/>
      <c r="I724" s="14"/>
    </row>
    <row r="725" ht="15.75" customHeight="1">
      <c r="E725" s="13"/>
      <c r="I725" s="14"/>
    </row>
    <row r="726" ht="15.75" customHeight="1">
      <c r="E726" s="13"/>
      <c r="I726" s="14"/>
    </row>
    <row r="727" ht="15.75" customHeight="1">
      <c r="E727" s="13"/>
      <c r="I727" s="14"/>
    </row>
    <row r="728" ht="15.75" customHeight="1">
      <c r="E728" s="13"/>
      <c r="I728" s="14"/>
    </row>
    <row r="729" ht="15.75" customHeight="1">
      <c r="E729" s="13"/>
      <c r="I729" s="14"/>
    </row>
    <row r="730" ht="15.75" customHeight="1">
      <c r="E730" s="13"/>
      <c r="I730" s="14"/>
    </row>
    <row r="731" ht="15.75" customHeight="1">
      <c r="E731" s="13"/>
      <c r="I731" s="14"/>
    </row>
    <row r="732" ht="15.75" customHeight="1">
      <c r="E732" s="13"/>
      <c r="I732" s="14"/>
    </row>
    <row r="733" ht="15.75" customHeight="1">
      <c r="E733" s="13"/>
      <c r="I733" s="14"/>
    </row>
    <row r="734" ht="15.75" customHeight="1">
      <c r="E734" s="13"/>
      <c r="I734" s="14"/>
    </row>
    <row r="735" ht="15.75" customHeight="1">
      <c r="E735" s="13"/>
      <c r="I735" s="14"/>
    </row>
    <row r="736" ht="15.75" customHeight="1">
      <c r="E736" s="13"/>
      <c r="I736" s="14"/>
    </row>
    <row r="737" ht="15.75" customHeight="1">
      <c r="E737" s="13"/>
      <c r="I737" s="14"/>
    </row>
    <row r="738" ht="15.75" customHeight="1">
      <c r="E738" s="13"/>
      <c r="I738" s="14"/>
    </row>
    <row r="739" ht="15.75" customHeight="1">
      <c r="E739" s="13"/>
      <c r="I739" s="14"/>
    </row>
    <row r="740" ht="15.75" customHeight="1">
      <c r="E740" s="13"/>
      <c r="I740" s="14"/>
    </row>
    <row r="741" ht="15.75" customHeight="1">
      <c r="E741" s="13"/>
      <c r="I741" s="14"/>
    </row>
    <row r="742" ht="15.75" customHeight="1">
      <c r="E742" s="13"/>
      <c r="I742" s="14"/>
    </row>
    <row r="743" ht="15.75" customHeight="1">
      <c r="E743" s="13"/>
      <c r="I743" s="14"/>
    </row>
    <row r="744" ht="15.75" customHeight="1">
      <c r="E744" s="13"/>
      <c r="I744" s="14"/>
    </row>
    <row r="745" ht="15.75" customHeight="1">
      <c r="E745" s="13"/>
      <c r="I745" s="14"/>
    </row>
    <row r="746" ht="15.75" customHeight="1">
      <c r="E746" s="13"/>
      <c r="I746" s="14"/>
    </row>
    <row r="747" ht="15.75" customHeight="1">
      <c r="E747" s="13"/>
      <c r="I747" s="14"/>
    </row>
    <row r="748" ht="15.75" customHeight="1">
      <c r="E748" s="13"/>
      <c r="I748" s="14"/>
    </row>
    <row r="749" ht="15.75" customHeight="1">
      <c r="E749" s="13"/>
      <c r="I749" s="14"/>
    </row>
    <row r="750" ht="15.75" customHeight="1">
      <c r="E750" s="13"/>
      <c r="I750" s="14"/>
    </row>
    <row r="751" ht="15.75" customHeight="1">
      <c r="E751" s="13"/>
      <c r="I751" s="14"/>
    </row>
    <row r="752" ht="15.75" customHeight="1">
      <c r="E752" s="13"/>
      <c r="I752" s="14"/>
    </row>
    <row r="753" ht="15.75" customHeight="1">
      <c r="E753" s="13"/>
      <c r="I753" s="14"/>
    </row>
    <row r="754" ht="15.75" customHeight="1">
      <c r="E754" s="13"/>
      <c r="I754" s="14"/>
    </row>
    <row r="755" ht="15.75" customHeight="1">
      <c r="E755" s="13"/>
      <c r="I755" s="14"/>
    </row>
    <row r="756" ht="15.75" customHeight="1">
      <c r="E756" s="13"/>
      <c r="I756" s="14"/>
    </row>
    <row r="757" ht="15.75" customHeight="1">
      <c r="E757" s="13"/>
      <c r="I757" s="14"/>
    </row>
    <row r="758" ht="15.75" customHeight="1">
      <c r="E758" s="13"/>
      <c r="I758" s="14"/>
    </row>
    <row r="759" ht="15.75" customHeight="1">
      <c r="E759" s="13"/>
      <c r="I759" s="14"/>
    </row>
    <row r="760" ht="15.75" customHeight="1">
      <c r="E760" s="13"/>
      <c r="I760" s="14"/>
    </row>
    <row r="761" ht="15.75" customHeight="1">
      <c r="E761" s="13"/>
      <c r="I761" s="14"/>
    </row>
    <row r="762" ht="15.75" customHeight="1">
      <c r="E762" s="13"/>
      <c r="I762" s="14"/>
    </row>
    <row r="763" ht="15.75" customHeight="1">
      <c r="E763" s="13"/>
      <c r="I763" s="14"/>
    </row>
    <row r="764" ht="15.75" customHeight="1">
      <c r="E764" s="13"/>
      <c r="I764" s="14"/>
    </row>
    <row r="765" ht="15.75" customHeight="1">
      <c r="E765" s="13"/>
      <c r="I765" s="14"/>
    </row>
    <row r="766" ht="15.75" customHeight="1">
      <c r="E766" s="13"/>
      <c r="I766" s="14"/>
    </row>
    <row r="767" ht="15.75" customHeight="1">
      <c r="E767" s="13"/>
      <c r="I767" s="14"/>
    </row>
    <row r="768" ht="15.75" customHeight="1">
      <c r="E768" s="13"/>
      <c r="I768" s="14"/>
    </row>
    <row r="769" ht="15.75" customHeight="1">
      <c r="E769" s="13"/>
      <c r="I769" s="14"/>
    </row>
    <row r="770" ht="15.75" customHeight="1">
      <c r="E770" s="13"/>
      <c r="I770" s="14"/>
    </row>
    <row r="771" ht="15.75" customHeight="1">
      <c r="E771" s="13"/>
      <c r="I771" s="14"/>
    </row>
    <row r="772" ht="15.75" customHeight="1">
      <c r="E772" s="13"/>
      <c r="I772" s="14"/>
    </row>
    <row r="773" ht="15.75" customHeight="1">
      <c r="E773" s="13"/>
      <c r="I773" s="14"/>
    </row>
    <row r="774" ht="15.75" customHeight="1">
      <c r="E774" s="13"/>
      <c r="I774" s="14"/>
    </row>
    <row r="775" ht="15.75" customHeight="1">
      <c r="E775" s="13"/>
      <c r="I775" s="14"/>
    </row>
    <row r="776" ht="15.75" customHeight="1">
      <c r="E776" s="13"/>
      <c r="I776" s="14"/>
    </row>
    <row r="777" ht="15.75" customHeight="1">
      <c r="E777" s="13"/>
      <c r="I777" s="14"/>
    </row>
    <row r="778" ht="15.75" customHeight="1">
      <c r="E778" s="13"/>
      <c r="I778" s="14"/>
    </row>
    <row r="779" ht="15.75" customHeight="1">
      <c r="E779" s="13"/>
      <c r="I779" s="14"/>
    </row>
    <row r="780" ht="15.75" customHeight="1">
      <c r="E780" s="13"/>
      <c r="I780" s="14"/>
    </row>
    <row r="781" ht="15.75" customHeight="1">
      <c r="E781" s="13"/>
      <c r="I781" s="14"/>
    </row>
    <row r="782" ht="15.75" customHeight="1">
      <c r="E782" s="13"/>
      <c r="I782" s="14"/>
    </row>
    <row r="783" ht="15.75" customHeight="1">
      <c r="E783" s="13"/>
      <c r="I783" s="14"/>
    </row>
    <row r="784" ht="15.75" customHeight="1">
      <c r="E784" s="13"/>
      <c r="I784" s="14"/>
    </row>
    <row r="785" ht="15.75" customHeight="1">
      <c r="E785" s="13"/>
      <c r="I785" s="14"/>
    </row>
    <row r="786" ht="15.75" customHeight="1">
      <c r="E786" s="13"/>
      <c r="I786" s="14"/>
    </row>
    <row r="787" ht="15.75" customHeight="1">
      <c r="E787" s="13"/>
      <c r="I787" s="14"/>
    </row>
    <row r="788" ht="15.75" customHeight="1">
      <c r="E788" s="13"/>
      <c r="I788" s="14"/>
    </row>
    <row r="789" ht="15.75" customHeight="1">
      <c r="E789" s="13"/>
      <c r="I789" s="14"/>
    </row>
    <row r="790" ht="15.75" customHeight="1">
      <c r="E790" s="13"/>
      <c r="I790" s="14"/>
    </row>
    <row r="791" ht="15.75" customHeight="1">
      <c r="E791" s="13"/>
      <c r="I791" s="14"/>
    </row>
    <row r="792" ht="15.75" customHeight="1">
      <c r="E792" s="13"/>
      <c r="I792" s="14"/>
    </row>
    <row r="793" ht="15.75" customHeight="1">
      <c r="E793" s="13"/>
      <c r="I793" s="14"/>
    </row>
    <row r="794" ht="15.75" customHeight="1">
      <c r="E794" s="13"/>
      <c r="I794" s="14"/>
    </row>
    <row r="795" ht="15.75" customHeight="1">
      <c r="E795" s="13"/>
      <c r="I795" s="14"/>
    </row>
    <row r="796" ht="15.75" customHeight="1">
      <c r="E796" s="13"/>
      <c r="I796" s="14"/>
    </row>
    <row r="797" ht="15.75" customHeight="1">
      <c r="E797" s="13"/>
      <c r="I797" s="14"/>
    </row>
    <row r="798" ht="15.75" customHeight="1">
      <c r="E798" s="13"/>
      <c r="I798" s="14"/>
    </row>
    <row r="799" ht="15.75" customHeight="1">
      <c r="E799" s="13"/>
      <c r="I799" s="14"/>
    </row>
    <row r="800" ht="15.75" customHeight="1">
      <c r="E800" s="13"/>
      <c r="I800" s="14"/>
    </row>
    <row r="801" ht="15.75" customHeight="1">
      <c r="E801" s="13"/>
      <c r="I801" s="14"/>
    </row>
    <row r="802" ht="15.75" customHeight="1">
      <c r="E802" s="13"/>
      <c r="I802" s="14"/>
    </row>
    <row r="803" ht="15.75" customHeight="1">
      <c r="E803" s="13"/>
      <c r="I803" s="14"/>
    </row>
    <row r="804" ht="15.75" customHeight="1">
      <c r="E804" s="13"/>
      <c r="I804" s="14"/>
    </row>
    <row r="805" ht="15.75" customHeight="1">
      <c r="E805" s="13"/>
      <c r="I805" s="14"/>
    </row>
    <row r="806" ht="15.75" customHeight="1">
      <c r="E806" s="13"/>
      <c r="I806" s="14"/>
    </row>
    <row r="807" ht="15.75" customHeight="1">
      <c r="E807" s="13"/>
      <c r="I807" s="14"/>
    </row>
    <row r="808" ht="15.75" customHeight="1">
      <c r="E808" s="13"/>
      <c r="I808" s="14"/>
    </row>
    <row r="809" ht="15.75" customHeight="1">
      <c r="E809" s="13"/>
      <c r="I809" s="14"/>
    </row>
    <row r="810" ht="15.75" customHeight="1">
      <c r="E810" s="13"/>
      <c r="I810" s="14"/>
    </row>
    <row r="811" ht="15.75" customHeight="1">
      <c r="E811" s="13"/>
      <c r="I811" s="14"/>
    </row>
    <row r="812" ht="15.75" customHeight="1">
      <c r="E812" s="13"/>
      <c r="I812" s="14"/>
    </row>
    <row r="813" ht="15.75" customHeight="1">
      <c r="E813" s="13"/>
      <c r="I813" s="14"/>
    </row>
    <row r="814" ht="15.75" customHeight="1">
      <c r="E814" s="13"/>
      <c r="I814" s="14"/>
    </row>
    <row r="815" ht="15.75" customHeight="1">
      <c r="E815" s="13"/>
      <c r="I815" s="14"/>
    </row>
    <row r="816" ht="15.75" customHeight="1">
      <c r="E816" s="13"/>
      <c r="I816" s="14"/>
    </row>
    <row r="817" ht="15.75" customHeight="1">
      <c r="E817" s="13"/>
      <c r="I817" s="14"/>
    </row>
    <row r="818" ht="15.75" customHeight="1">
      <c r="E818" s="13"/>
      <c r="I818" s="14"/>
    </row>
    <row r="819" ht="15.75" customHeight="1">
      <c r="E819" s="13"/>
      <c r="I819" s="14"/>
    </row>
    <row r="820" ht="15.75" customHeight="1">
      <c r="E820" s="13"/>
      <c r="I820" s="14"/>
    </row>
    <row r="821" ht="15.75" customHeight="1">
      <c r="E821" s="13"/>
      <c r="I821" s="14"/>
    </row>
    <row r="822" ht="15.75" customHeight="1">
      <c r="E822" s="13"/>
      <c r="I822" s="14"/>
    </row>
    <row r="823" ht="15.75" customHeight="1">
      <c r="E823" s="13"/>
      <c r="I823" s="14"/>
    </row>
    <row r="824" ht="15.75" customHeight="1">
      <c r="E824" s="13"/>
      <c r="I824" s="14"/>
    </row>
    <row r="825" ht="15.75" customHeight="1">
      <c r="E825" s="13"/>
      <c r="I825" s="14"/>
    </row>
    <row r="826" ht="15.75" customHeight="1">
      <c r="E826" s="13"/>
      <c r="I826" s="14"/>
    </row>
    <row r="827" ht="15.75" customHeight="1">
      <c r="E827" s="13"/>
      <c r="I827" s="14"/>
    </row>
    <row r="828" ht="15.75" customHeight="1">
      <c r="E828" s="13"/>
      <c r="I828" s="14"/>
    </row>
    <row r="829" ht="15.75" customHeight="1">
      <c r="E829" s="13"/>
      <c r="I829" s="14"/>
    </row>
    <row r="830" ht="15.75" customHeight="1">
      <c r="E830" s="13"/>
      <c r="I830" s="14"/>
    </row>
    <row r="831" ht="15.75" customHeight="1">
      <c r="E831" s="13"/>
      <c r="I831" s="14"/>
    </row>
    <row r="832" ht="15.75" customHeight="1">
      <c r="E832" s="13"/>
      <c r="I832" s="14"/>
    </row>
    <row r="833" ht="15.75" customHeight="1">
      <c r="E833" s="13"/>
      <c r="I833" s="14"/>
    </row>
    <row r="834" ht="15.75" customHeight="1">
      <c r="E834" s="13"/>
      <c r="I834" s="14"/>
    </row>
    <row r="835" ht="15.75" customHeight="1">
      <c r="E835" s="13"/>
      <c r="I835" s="14"/>
    </row>
    <row r="836" ht="15.75" customHeight="1">
      <c r="E836" s="13"/>
      <c r="I836" s="14"/>
    </row>
    <row r="837" ht="15.75" customHeight="1">
      <c r="E837" s="13"/>
      <c r="I837" s="14"/>
    </row>
    <row r="838" ht="15.75" customHeight="1">
      <c r="E838" s="13"/>
      <c r="I838" s="14"/>
    </row>
    <row r="839" ht="15.75" customHeight="1">
      <c r="E839" s="13"/>
      <c r="I839" s="14"/>
    </row>
    <row r="840" ht="15.75" customHeight="1">
      <c r="E840" s="13"/>
      <c r="I840" s="14"/>
    </row>
    <row r="841" ht="15.75" customHeight="1">
      <c r="E841" s="13"/>
      <c r="I841" s="14"/>
    </row>
    <row r="842" ht="15.75" customHeight="1">
      <c r="E842" s="13"/>
      <c r="I842" s="14"/>
    </row>
    <row r="843" ht="15.75" customHeight="1">
      <c r="E843" s="13"/>
      <c r="I843" s="14"/>
    </row>
    <row r="844" ht="15.75" customHeight="1">
      <c r="E844" s="13"/>
      <c r="I844" s="14"/>
    </row>
    <row r="845" ht="15.75" customHeight="1">
      <c r="E845" s="13"/>
      <c r="I845" s="14"/>
    </row>
    <row r="846" ht="15.75" customHeight="1">
      <c r="E846" s="13"/>
      <c r="I846" s="14"/>
    </row>
    <row r="847" ht="15.75" customHeight="1">
      <c r="E847" s="13"/>
      <c r="I847" s="14"/>
    </row>
    <row r="848" ht="15.75" customHeight="1">
      <c r="E848" s="13"/>
      <c r="I848" s="14"/>
    </row>
    <row r="849" ht="15.75" customHeight="1">
      <c r="E849" s="13"/>
      <c r="I849" s="14"/>
    </row>
    <row r="850" ht="15.75" customHeight="1">
      <c r="E850" s="13"/>
      <c r="I850" s="14"/>
    </row>
    <row r="851" ht="15.75" customHeight="1">
      <c r="E851" s="13"/>
      <c r="I851" s="14"/>
    </row>
    <row r="852" ht="15.75" customHeight="1">
      <c r="E852" s="13"/>
      <c r="I852" s="14"/>
    </row>
    <row r="853" ht="15.75" customHeight="1">
      <c r="E853" s="13"/>
      <c r="I853" s="14"/>
    </row>
    <row r="854" ht="15.75" customHeight="1">
      <c r="E854" s="13"/>
      <c r="I854" s="14"/>
    </row>
    <row r="855" ht="15.75" customHeight="1">
      <c r="E855" s="13"/>
      <c r="I855" s="14"/>
    </row>
    <row r="856" ht="15.75" customHeight="1">
      <c r="E856" s="13"/>
      <c r="I856" s="14"/>
    </row>
    <row r="857" ht="15.75" customHeight="1">
      <c r="E857" s="13"/>
      <c r="I857" s="14"/>
    </row>
    <row r="858" ht="15.75" customHeight="1">
      <c r="E858" s="13"/>
      <c r="I858" s="14"/>
    </row>
    <row r="859" ht="15.75" customHeight="1">
      <c r="E859" s="13"/>
      <c r="I859" s="14"/>
    </row>
    <row r="860" ht="15.75" customHeight="1">
      <c r="E860" s="13"/>
      <c r="I860" s="14"/>
    </row>
    <row r="861" ht="15.75" customHeight="1">
      <c r="E861" s="13"/>
      <c r="I861" s="14"/>
    </row>
    <row r="862" ht="15.75" customHeight="1">
      <c r="E862" s="13"/>
      <c r="I862" s="14"/>
    </row>
    <row r="863" ht="15.75" customHeight="1">
      <c r="E863" s="13"/>
      <c r="I863" s="14"/>
    </row>
    <row r="864" ht="15.75" customHeight="1">
      <c r="E864" s="13"/>
      <c r="I864" s="14"/>
    </row>
    <row r="865" ht="15.75" customHeight="1">
      <c r="E865" s="13"/>
      <c r="I865" s="14"/>
    </row>
    <row r="866" ht="15.75" customHeight="1">
      <c r="E866" s="13"/>
      <c r="I866" s="14"/>
    </row>
    <row r="867" ht="15.75" customHeight="1">
      <c r="E867" s="13"/>
      <c r="I867" s="14"/>
    </row>
    <row r="868" ht="15.75" customHeight="1">
      <c r="E868" s="13"/>
      <c r="I868" s="14"/>
    </row>
    <row r="869" ht="15.75" customHeight="1">
      <c r="E869" s="13"/>
      <c r="I869" s="14"/>
    </row>
    <row r="870" ht="15.75" customHeight="1">
      <c r="E870" s="13"/>
      <c r="I870" s="14"/>
    </row>
    <row r="871" ht="15.75" customHeight="1">
      <c r="E871" s="13"/>
      <c r="I871" s="14"/>
    </row>
    <row r="872" ht="15.75" customHeight="1">
      <c r="E872" s="13"/>
      <c r="I872" s="14"/>
    </row>
    <row r="873" ht="15.75" customHeight="1">
      <c r="E873" s="13"/>
      <c r="I873" s="14"/>
    </row>
    <row r="874" ht="15.75" customHeight="1">
      <c r="E874" s="13"/>
      <c r="I874" s="14"/>
    </row>
    <row r="875" ht="15.75" customHeight="1">
      <c r="E875" s="13"/>
      <c r="I875" s="14"/>
    </row>
    <row r="876" ht="15.75" customHeight="1">
      <c r="E876" s="13"/>
      <c r="I876" s="14"/>
    </row>
    <row r="877" ht="15.75" customHeight="1">
      <c r="E877" s="13"/>
      <c r="I877" s="14"/>
    </row>
    <row r="878" ht="15.75" customHeight="1">
      <c r="E878" s="13"/>
      <c r="I878" s="14"/>
    </row>
    <row r="879" ht="15.75" customHeight="1">
      <c r="E879" s="13"/>
      <c r="I879" s="14"/>
    </row>
    <row r="880" ht="15.75" customHeight="1">
      <c r="E880" s="13"/>
      <c r="I880" s="14"/>
    </row>
    <row r="881" ht="15.75" customHeight="1">
      <c r="E881" s="13"/>
      <c r="I881" s="14"/>
    </row>
    <row r="882" ht="15.75" customHeight="1">
      <c r="E882" s="13"/>
      <c r="I882" s="14"/>
    </row>
    <row r="883" ht="15.75" customHeight="1">
      <c r="E883" s="13"/>
      <c r="I883" s="14"/>
    </row>
    <row r="884" ht="15.75" customHeight="1">
      <c r="E884" s="13"/>
      <c r="I884" s="14"/>
    </row>
    <row r="885" ht="15.75" customHeight="1">
      <c r="E885" s="13"/>
      <c r="I885" s="14"/>
    </row>
    <row r="886" ht="15.75" customHeight="1">
      <c r="E886" s="13"/>
      <c r="I886" s="14"/>
    </row>
    <row r="887" ht="15.75" customHeight="1">
      <c r="E887" s="13"/>
      <c r="I887" s="14"/>
    </row>
    <row r="888" ht="15.75" customHeight="1">
      <c r="E888" s="13"/>
      <c r="I888" s="14"/>
    </row>
    <row r="889" ht="15.75" customHeight="1">
      <c r="E889" s="13"/>
      <c r="I889" s="14"/>
    </row>
    <row r="890" ht="15.75" customHeight="1">
      <c r="E890" s="13"/>
      <c r="I890" s="14"/>
    </row>
    <row r="891" ht="15.75" customHeight="1">
      <c r="E891" s="13"/>
      <c r="I891" s="14"/>
    </row>
    <row r="892" ht="15.75" customHeight="1">
      <c r="E892" s="13"/>
      <c r="I892" s="14"/>
    </row>
    <row r="893" ht="15.75" customHeight="1">
      <c r="E893" s="13"/>
      <c r="I893" s="14"/>
    </row>
    <row r="894" ht="15.75" customHeight="1">
      <c r="E894" s="13"/>
      <c r="I894" s="14"/>
    </row>
    <row r="895" ht="15.75" customHeight="1">
      <c r="E895" s="13"/>
      <c r="I895" s="14"/>
    </row>
    <row r="896" ht="15.75" customHeight="1">
      <c r="E896" s="13"/>
      <c r="I896" s="14"/>
    </row>
    <row r="897" ht="15.75" customHeight="1">
      <c r="E897" s="13"/>
      <c r="I897" s="14"/>
    </row>
    <row r="898" ht="15.75" customHeight="1">
      <c r="E898" s="13"/>
      <c r="I898" s="14"/>
    </row>
    <row r="899" ht="15.75" customHeight="1">
      <c r="E899" s="13"/>
      <c r="I899" s="14"/>
    </row>
    <row r="900" ht="15.75" customHeight="1">
      <c r="E900" s="13"/>
      <c r="I900" s="14"/>
    </row>
    <row r="901" ht="15.75" customHeight="1">
      <c r="E901" s="13"/>
      <c r="I901" s="14"/>
    </row>
    <row r="902" ht="15.75" customHeight="1">
      <c r="E902" s="13"/>
      <c r="I902" s="14"/>
    </row>
    <row r="903" ht="15.75" customHeight="1">
      <c r="E903" s="13"/>
      <c r="I903" s="14"/>
    </row>
    <row r="904" ht="15.75" customHeight="1">
      <c r="E904" s="13"/>
      <c r="I904" s="14"/>
    </row>
    <row r="905" ht="15.75" customHeight="1">
      <c r="E905" s="13"/>
      <c r="I905" s="14"/>
    </row>
    <row r="906" ht="15.75" customHeight="1">
      <c r="E906" s="13"/>
      <c r="I906" s="14"/>
    </row>
    <row r="907" ht="15.75" customHeight="1">
      <c r="E907" s="13"/>
      <c r="I907" s="14"/>
    </row>
    <row r="908" ht="15.75" customHeight="1">
      <c r="E908" s="13"/>
      <c r="I908" s="14"/>
    </row>
    <row r="909" ht="15.75" customHeight="1">
      <c r="E909" s="13"/>
      <c r="I909" s="14"/>
    </row>
    <row r="910" ht="15.75" customHeight="1">
      <c r="E910" s="13"/>
      <c r="I910" s="14"/>
    </row>
    <row r="911" ht="15.75" customHeight="1">
      <c r="E911" s="13"/>
      <c r="I911" s="14"/>
    </row>
    <row r="912" ht="15.75" customHeight="1">
      <c r="E912" s="13"/>
      <c r="I912" s="14"/>
    </row>
    <row r="913" ht="15.75" customHeight="1">
      <c r="E913" s="13"/>
      <c r="I913" s="14"/>
    </row>
    <row r="914" ht="15.75" customHeight="1">
      <c r="E914" s="13"/>
      <c r="I914" s="14"/>
    </row>
    <row r="915" ht="15.75" customHeight="1">
      <c r="E915" s="13"/>
      <c r="I915" s="14"/>
    </row>
    <row r="916" ht="15.75" customHeight="1">
      <c r="E916" s="13"/>
      <c r="I916" s="14"/>
    </row>
    <row r="917" ht="15.75" customHeight="1">
      <c r="E917" s="13"/>
      <c r="I917" s="14"/>
    </row>
    <row r="918" ht="15.75" customHeight="1">
      <c r="E918" s="13"/>
      <c r="I918" s="14"/>
    </row>
    <row r="919" ht="15.75" customHeight="1">
      <c r="E919" s="13"/>
      <c r="I919" s="14"/>
    </row>
    <row r="920" ht="15.75" customHeight="1">
      <c r="E920" s="13"/>
      <c r="I920" s="14"/>
    </row>
    <row r="921" ht="15.75" customHeight="1">
      <c r="E921" s="13"/>
      <c r="I921" s="14"/>
    </row>
    <row r="922" ht="15.75" customHeight="1">
      <c r="E922" s="13"/>
      <c r="I922" s="14"/>
    </row>
    <row r="923" ht="15.75" customHeight="1">
      <c r="E923" s="13"/>
      <c r="I923" s="14"/>
    </row>
    <row r="924" ht="15.75" customHeight="1">
      <c r="E924" s="13"/>
      <c r="I924" s="14"/>
    </row>
    <row r="925" ht="15.75" customHeight="1">
      <c r="E925" s="13"/>
      <c r="I925" s="14"/>
    </row>
    <row r="926" ht="15.75" customHeight="1">
      <c r="E926" s="13"/>
      <c r="I926" s="14"/>
    </row>
    <row r="927" ht="15.75" customHeight="1">
      <c r="E927" s="13"/>
      <c r="I927" s="14"/>
    </row>
    <row r="928" ht="15.75" customHeight="1">
      <c r="E928" s="13"/>
      <c r="I928" s="14"/>
    </row>
    <row r="929" ht="15.75" customHeight="1">
      <c r="E929" s="13"/>
      <c r="I929" s="14"/>
    </row>
    <row r="930" ht="15.75" customHeight="1">
      <c r="E930" s="13"/>
      <c r="I930" s="14"/>
    </row>
    <row r="931" ht="15.75" customHeight="1">
      <c r="E931" s="13"/>
      <c r="I931" s="14"/>
    </row>
    <row r="932" ht="15.75" customHeight="1">
      <c r="E932" s="13"/>
      <c r="I932" s="14"/>
    </row>
    <row r="933" ht="15.75" customHeight="1">
      <c r="E933" s="13"/>
      <c r="I933" s="14"/>
    </row>
    <row r="934" ht="15.75" customHeight="1">
      <c r="E934" s="13"/>
      <c r="I934" s="14"/>
    </row>
    <row r="935" ht="15.75" customHeight="1">
      <c r="E935" s="13"/>
      <c r="I935" s="14"/>
    </row>
    <row r="936" ht="15.75" customHeight="1">
      <c r="E936" s="13"/>
      <c r="I936" s="14"/>
    </row>
    <row r="937" ht="15.75" customHeight="1">
      <c r="E937" s="13"/>
      <c r="I937" s="14"/>
    </row>
    <row r="938" ht="15.75" customHeight="1">
      <c r="E938" s="13"/>
      <c r="I938" s="14"/>
    </row>
    <row r="939" ht="15.75" customHeight="1">
      <c r="E939" s="13"/>
      <c r="I939" s="14"/>
    </row>
    <row r="940" ht="15.75" customHeight="1">
      <c r="E940" s="13"/>
      <c r="I940" s="14"/>
    </row>
    <row r="941" ht="15.75" customHeight="1">
      <c r="E941" s="13"/>
      <c r="I941" s="14"/>
    </row>
    <row r="942" ht="15.75" customHeight="1">
      <c r="E942" s="13"/>
      <c r="I942" s="14"/>
    </row>
    <row r="943" ht="15.75" customHeight="1">
      <c r="E943" s="13"/>
      <c r="I943" s="14"/>
    </row>
    <row r="944" ht="15.75" customHeight="1">
      <c r="E944" s="13"/>
      <c r="I944" s="14"/>
    </row>
    <row r="945" ht="15.75" customHeight="1">
      <c r="E945" s="13"/>
      <c r="I945" s="14"/>
    </row>
    <row r="946" ht="15.75" customHeight="1">
      <c r="E946" s="13"/>
      <c r="I946" s="14"/>
    </row>
    <row r="947" ht="15.75" customHeight="1">
      <c r="E947" s="13"/>
      <c r="I947" s="14"/>
    </row>
    <row r="948" ht="15.75" customHeight="1">
      <c r="E948" s="13"/>
      <c r="I948" s="14"/>
    </row>
    <row r="949" ht="15.75" customHeight="1">
      <c r="E949" s="13"/>
      <c r="I949" s="14"/>
    </row>
    <row r="950" ht="15.75" customHeight="1">
      <c r="E950" s="13"/>
      <c r="I950" s="14"/>
    </row>
    <row r="951" ht="15.75" customHeight="1">
      <c r="E951" s="13"/>
      <c r="I951" s="14"/>
    </row>
    <row r="952" ht="15.75" customHeight="1">
      <c r="E952" s="13"/>
      <c r="I952" s="14"/>
    </row>
    <row r="953" ht="15.75" customHeight="1">
      <c r="E953" s="13"/>
      <c r="I953" s="14"/>
    </row>
    <row r="954" ht="15.75" customHeight="1">
      <c r="E954" s="13"/>
      <c r="I954" s="14"/>
    </row>
    <row r="955" ht="15.75" customHeight="1">
      <c r="E955" s="13"/>
      <c r="I955" s="14"/>
    </row>
    <row r="956" ht="15.75" customHeight="1">
      <c r="E956" s="13"/>
      <c r="I956" s="14"/>
    </row>
    <row r="957" ht="15.75" customHeight="1">
      <c r="E957" s="13"/>
      <c r="I957" s="14"/>
    </row>
    <row r="958" ht="15.75" customHeight="1">
      <c r="E958" s="13"/>
      <c r="I958" s="14"/>
    </row>
    <row r="959" ht="15.75" customHeight="1">
      <c r="E959" s="13"/>
      <c r="I959" s="14"/>
    </row>
    <row r="960" ht="15.75" customHeight="1">
      <c r="E960" s="13"/>
      <c r="I960" s="14"/>
    </row>
    <row r="961" ht="15.75" customHeight="1">
      <c r="E961" s="13"/>
      <c r="I961" s="14"/>
    </row>
    <row r="962" ht="15.75" customHeight="1">
      <c r="E962" s="13"/>
      <c r="I962" s="14"/>
    </row>
    <row r="963" ht="15.75" customHeight="1">
      <c r="E963" s="13"/>
      <c r="I963" s="14"/>
    </row>
    <row r="964" ht="15.75" customHeight="1">
      <c r="E964" s="13"/>
      <c r="I964" s="14"/>
    </row>
    <row r="965" ht="15.75" customHeight="1">
      <c r="E965" s="13"/>
      <c r="I965" s="14"/>
    </row>
    <row r="966" ht="15.75" customHeight="1">
      <c r="E966" s="13"/>
      <c r="I966" s="14"/>
    </row>
    <row r="967" ht="15.75" customHeight="1">
      <c r="E967" s="13"/>
      <c r="I967" s="14"/>
    </row>
    <row r="968" ht="15.75" customHeight="1">
      <c r="E968" s="13"/>
      <c r="I968" s="14"/>
    </row>
    <row r="969" ht="15.75" customHeight="1">
      <c r="E969" s="13"/>
      <c r="I969" s="14"/>
    </row>
    <row r="970" ht="15.75" customHeight="1">
      <c r="E970" s="13"/>
      <c r="I970" s="14"/>
    </row>
    <row r="971" ht="15.75" customHeight="1">
      <c r="E971" s="13"/>
      <c r="I971" s="14"/>
    </row>
    <row r="972" ht="15.75" customHeight="1">
      <c r="E972" s="13"/>
      <c r="I972" s="14"/>
    </row>
    <row r="973" ht="15.75" customHeight="1">
      <c r="E973" s="13"/>
      <c r="I973" s="14"/>
    </row>
    <row r="974" ht="15.75" customHeight="1">
      <c r="E974" s="13"/>
      <c r="I974" s="14"/>
    </row>
    <row r="975" ht="15.75" customHeight="1">
      <c r="E975" s="13"/>
      <c r="I975" s="14"/>
    </row>
    <row r="976" ht="15.75" customHeight="1">
      <c r="E976" s="13"/>
      <c r="I976" s="14"/>
    </row>
    <row r="977" ht="15.75" customHeight="1">
      <c r="E977" s="13"/>
      <c r="I977" s="14"/>
    </row>
    <row r="978" ht="15.75" customHeight="1">
      <c r="E978" s="13"/>
      <c r="I978" s="14"/>
    </row>
    <row r="979" ht="15.75" customHeight="1">
      <c r="E979" s="13"/>
      <c r="I979" s="14"/>
    </row>
    <row r="980" ht="15.75" customHeight="1">
      <c r="E980" s="13"/>
      <c r="I980" s="14"/>
    </row>
    <row r="981" ht="15.75" customHeight="1">
      <c r="E981" s="13"/>
      <c r="I981" s="14"/>
    </row>
    <row r="982" ht="15.75" customHeight="1">
      <c r="E982" s="13"/>
      <c r="I982" s="14"/>
    </row>
    <row r="983" ht="15.75" customHeight="1">
      <c r="E983" s="13"/>
      <c r="I983" s="14"/>
    </row>
    <row r="984" ht="15.75" customHeight="1">
      <c r="E984" s="13"/>
      <c r="I984" s="14"/>
    </row>
    <row r="985" ht="15.75" customHeight="1">
      <c r="E985" s="13"/>
      <c r="I985" s="14"/>
    </row>
    <row r="986" ht="15.75" customHeight="1">
      <c r="E986" s="13"/>
      <c r="I986" s="14"/>
    </row>
    <row r="987" ht="15.75" customHeight="1">
      <c r="E987" s="13"/>
      <c r="I987" s="14"/>
    </row>
    <row r="988" ht="15.75" customHeight="1">
      <c r="E988" s="13"/>
      <c r="I988" s="14"/>
    </row>
    <row r="989" ht="15.75" customHeight="1">
      <c r="E989" s="13"/>
      <c r="I989" s="14"/>
    </row>
    <row r="990" ht="15.75" customHeight="1">
      <c r="E990" s="13"/>
      <c r="I990" s="14"/>
    </row>
    <row r="991" ht="15.75" customHeight="1">
      <c r="E991" s="13"/>
      <c r="I991" s="14"/>
    </row>
    <row r="992" ht="15.75" customHeight="1">
      <c r="E992" s="13"/>
      <c r="I992" s="14"/>
    </row>
    <row r="993" ht="15.75" customHeight="1">
      <c r="E993" s="13"/>
      <c r="I993" s="14"/>
    </row>
    <row r="994" ht="15.75" customHeight="1">
      <c r="E994" s="13"/>
      <c r="I994" s="14"/>
    </row>
    <row r="995" ht="15.75" customHeight="1">
      <c r="E995" s="13"/>
      <c r="I995" s="14"/>
    </row>
    <row r="996" ht="15.75" customHeight="1">
      <c r="E996" s="13"/>
      <c r="I996" s="14"/>
    </row>
    <row r="997" ht="15.75" customHeight="1">
      <c r="E997" s="13"/>
      <c r="I997" s="14"/>
    </row>
    <row r="998" ht="15.75" customHeight="1">
      <c r="E998" s="13"/>
      <c r="I998" s="14"/>
    </row>
    <row r="999" ht="15.75" customHeight="1">
      <c r="E999" s="13"/>
      <c r="I999" s="14"/>
    </row>
    <row r="1000" ht="15.75" customHeight="1">
      <c r="E1000" s="13"/>
      <c r="I1000" s="14"/>
    </row>
  </sheetData>
  <printOptions/>
  <pageMargins bottom="1.0" footer="0.0" header="0.0" left="0.75" right="0.75" top="1.0"/>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9" width="9.14"/>
  </cols>
  <sheetData>
    <row r="1">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row>
    <row r="2">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row>
    <row r="3">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row>
    <row r="4">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row>
    <row r="5">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row>
    <row r="6">
      <c r="A6" s="15"/>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row>
    <row r="7">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row>
    <row r="8">
      <c r="A8" s="15"/>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row>
    <row r="9">
      <c r="A9" s="15"/>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row>
    <row r="10">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row>
    <row r="11">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row>
    <row r="12">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row>
    <row r="1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row>
    <row r="1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row>
    <row r="16">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row>
    <row r="17">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row>
    <row r="18">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row>
    <row r="19">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row>
    <row r="20">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row>
    <row r="21" ht="15.75" customHeight="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row>
    <row r="22" ht="15.75" customHeight="1">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row>
    <row r="23" ht="15.75" customHeight="1">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row>
    <row r="24" ht="15.75" customHeight="1">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row>
    <row r="25" ht="15.75" customHeight="1">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row>
    <row r="26" ht="15.75" customHeight="1">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row>
    <row r="27" ht="15.75" customHeight="1">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row>
    <row r="28" ht="15.75" customHeight="1">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row>
    <row r="29" ht="15.75"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row>
    <row r="30" ht="15.75" customHeight="1">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row>
    <row r="31" ht="15.75"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row>
    <row r="32" ht="15.75"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row>
    <row r="33" ht="15.75"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row>
    <row r="34" ht="15.75"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row>
    <row r="35" ht="15.7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row>
    <row r="36" ht="15.7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row>
    <row r="37" ht="15.7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row>
    <row r="38" ht="15.7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14"/>
    <col customWidth="1" min="2" max="2" width="14.0"/>
    <col customWidth="1" min="3" max="26" width="8.71"/>
  </cols>
  <sheetData>
    <row r="3">
      <c r="A3" s="16" t="s">
        <v>4</v>
      </c>
      <c r="B3" s="16" t="s">
        <v>78</v>
      </c>
    </row>
    <row r="4">
      <c r="A4" s="16" t="s">
        <v>36</v>
      </c>
      <c r="B4" s="16">
        <v>43468.33</v>
      </c>
    </row>
    <row r="5">
      <c r="A5" s="16" t="s">
        <v>20</v>
      </c>
      <c r="B5" s="16">
        <v>32441.64</v>
      </c>
    </row>
    <row r="6">
      <c r="A6" s="16" t="s">
        <v>26</v>
      </c>
      <c r="B6" s="16">
        <v>34975.42</v>
      </c>
    </row>
    <row r="7">
      <c r="A7" s="16" t="s">
        <v>22</v>
      </c>
      <c r="B7" s="16">
        <v>40248.79</v>
      </c>
    </row>
    <row r="8">
      <c r="A8" s="16" t="s">
        <v>13</v>
      </c>
      <c r="B8" s="16">
        <v>44083.58</v>
      </c>
    </row>
    <row r="9">
      <c r="A9" s="16" t="s">
        <v>79</v>
      </c>
      <c r="B9" s="16">
        <v>195217.76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14"/>
    <col customWidth="1" min="2" max="2" width="14.0"/>
    <col customWidth="1" min="3" max="26" width="8.71"/>
  </cols>
  <sheetData>
    <row r="3">
      <c r="A3" s="16" t="s">
        <v>5</v>
      </c>
      <c r="B3" s="16" t="s">
        <v>78</v>
      </c>
    </row>
    <row r="4">
      <c r="A4" s="16" t="s">
        <v>14</v>
      </c>
      <c r="B4" s="16">
        <v>47002.46</v>
      </c>
    </row>
    <row r="5">
      <c r="A5" s="16" t="s">
        <v>17</v>
      </c>
      <c r="B5" s="16">
        <v>41927.59</v>
      </c>
    </row>
    <row r="6">
      <c r="A6" s="16" t="s">
        <v>23</v>
      </c>
      <c r="B6" s="16">
        <v>41044.0</v>
      </c>
    </row>
    <row r="7">
      <c r="A7" s="16" t="s">
        <v>29</v>
      </c>
      <c r="B7" s="16">
        <v>36612.89</v>
      </c>
    </row>
    <row r="8">
      <c r="A8" s="16" t="s">
        <v>41</v>
      </c>
      <c r="B8" s="16">
        <v>28630.82</v>
      </c>
    </row>
    <row r="9">
      <c r="A9" s="16" t="s">
        <v>79</v>
      </c>
      <c r="B9" s="16">
        <v>195217.76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6" width="20.14"/>
    <col customWidth="1" min="7" max="7" width="11.86"/>
    <col customWidth="1" min="8" max="26" width="8.71"/>
  </cols>
  <sheetData>
    <row r="3">
      <c r="A3" s="16" t="s">
        <v>78</v>
      </c>
      <c r="B3" s="16" t="s">
        <v>5</v>
      </c>
    </row>
    <row r="4">
      <c r="A4" s="16" t="s">
        <v>4</v>
      </c>
      <c r="B4" s="16" t="s">
        <v>14</v>
      </c>
      <c r="C4" s="16" t="s">
        <v>17</v>
      </c>
      <c r="D4" s="16" t="s">
        <v>23</v>
      </c>
      <c r="E4" s="16" t="s">
        <v>29</v>
      </c>
      <c r="F4" s="16" t="s">
        <v>41</v>
      </c>
      <c r="G4" s="16" t="s">
        <v>79</v>
      </c>
    </row>
    <row r="5">
      <c r="A5" s="16" t="s">
        <v>36</v>
      </c>
      <c r="B5" s="16">
        <v>11297.15</v>
      </c>
      <c r="C5" s="16">
        <v>12200.26</v>
      </c>
      <c r="D5" s="16">
        <v>6621.24</v>
      </c>
      <c r="E5" s="16">
        <v>4876.96</v>
      </c>
      <c r="F5" s="16">
        <v>8472.72</v>
      </c>
      <c r="G5" s="16">
        <v>43468.33</v>
      </c>
    </row>
    <row r="6">
      <c r="A6" s="16" t="s">
        <v>79</v>
      </c>
      <c r="B6" s="16">
        <v>11297.15</v>
      </c>
      <c r="C6" s="16">
        <v>12200.26</v>
      </c>
      <c r="D6" s="16">
        <v>6621.24</v>
      </c>
      <c r="E6" s="16">
        <v>4876.96</v>
      </c>
      <c r="F6" s="16">
        <v>8472.72</v>
      </c>
      <c r="G6" s="16">
        <v>43468.33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29"/>
    <col customWidth="1" min="2" max="2" width="10.43"/>
    <col customWidth="1" min="3" max="26" width="8.71"/>
  </cols>
  <sheetData>
    <row r="1">
      <c r="A1" s="17" t="s">
        <v>3</v>
      </c>
      <c r="B1" s="17" t="s">
        <v>80</v>
      </c>
    </row>
    <row r="2">
      <c r="A2" s="18" t="str">
        <f t="array" ref="A2:A28">UNIQUE(Dataset!B2:B201)</f>
        <v>James Davis</v>
      </c>
      <c r="B2" s="19">
        <f>SUMIFS(Dataset!E2:E201,Dataset!B2:B201,A2)</f>
        <v>6255.7</v>
      </c>
    </row>
    <row r="3">
      <c r="A3" s="18" t="s">
        <v>16</v>
      </c>
      <c r="B3" s="19">
        <f>SUMIFS(Dataset!E3:E202,Dataset!B3:B202,A3)</f>
        <v>8331.85</v>
      </c>
    </row>
    <row r="4">
      <c r="A4" s="18" t="s">
        <v>19</v>
      </c>
      <c r="B4" s="19">
        <f>SUMIFS(Dataset!E4:E203,Dataset!B4:B203,A4)</f>
        <v>5615.28</v>
      </c>
    </row>
    <row r="5">
      <c r="A5" s="18" t="s">
        <v>25</v>
      </c>
      <c r="B5" s="19">
        <f>SUMIFS(Dataset!E5:E204,Dataset!B5:B204,A5)</f>
        <v>20774.74</v>
      </c>
      <c r="C5" s="20"/>
    </row>
    <row r="6">
      <c r="A6" s="18" t="s">
        <v>28</v>
      </c>
      <c r="B6" s="19">
        <f>SUMIFS(Dataset!E6:E205,Dataset!B6:B205,A6)</f>
        <v>7881.9</v>
      </c>
    </row>
    <row r="7">
      <c r="A7" s="18" t="s">
        <v>31</v>
      </c>
      <c r="B7" s="19">
        <f>SUMIFS(Dataset!E7:E206,Dataset!B7:B206,A7)</f>
        <v>9970.2</v>
      </c>
    </row>
    <row r="8">
      <c r="A8" s="18" t="s">
        <v>33</v>
      </c>
      <c r="B8" s="19">
        <f>SUMIFS(Dataset!E8:E207,Dataset!B8:B207,A8)</f>
        <v>17143.29</v>
      </c>
    </row>
    <row r="9">
      <c r="A9" s="18" t="s">
        <v>35</v>
      </c>
      <c r="B9" s="19">
        <f>SUMIFS(Dataset!E9:E208,Dataset!B9:B208,A9)</f>
        <v>3968.59</v>
      </c>
    </row>
    <row r="10">
      <c r="A10" s="18" t="s">
        <v>38</v>
      </c>
      <c r="B10" s="19">
        <f>SUMIFS(Dataset!E10:E209,Dataset!B10:B209,A10)</f>
        <v>7020.38</v>
      </c>
    </row>
    <row r="11">
      <c r="A11" s="18" t="s">
        <v>40</v>
      </c>
      <c r="B11" s="19">
        <f>SUMIFS(Dataset!E11:E210,Dataset!B11:B210,A11)</f>
        <v>11398.32</v>
      </c>
    </row>
    <row r="12">
      <c r="A12" s="18" t="s">
        <v>44</v>
      </c>
      <c r="B12" s="19">
        <f>SUMIFS(Dataset!E12:E211,Dataset!B12:B211,A12)</f>
        <v>1672.88</v>
      </c>
    </row>
    <row r="13">
      <c r="A13" s="18" t="s">
        <v>45</v>
      </c>
      <c r="B13" s="19">
        <f>SUMIFS(Dataset!E13:E212,Dataset!B13:B212,A13)</f>
        <v>7296.19</v>
      </c>
    </row>
    <row r="14">
      <c r="A14" s="18" t="s">
        <v>47</v>
      </c>
      <c r="B14" s="19">
        <f>SUMIFS(Dataset!E14:E213,Dataset!B14:B213,A14)</f>
        <v>8635.95</v>
      </c>
    </row>
    <row r="15">
      <c r="A15" s="18" t="s">
        <v>49</v>
      </c>
      <c r="B15" s="19">
        <f>SUMIFS(Dataset!E15:E214,Dataset!B15:B214,A15)</f>
        <v>7251.18</v>
      </c>
    </row>
    <row r="16">
      <c r="A16" s="18" t="s">
        <v>50</v>
      </c>
      <c r="B16" s="19">
        <f>SUMIFS(Dataset!E16:E215,Dataset!B16:B215,A16)</f>
        <v>8090.12</v>
      </c>
    </row>
    <row r="17">
      <c r="A17" s="18" t="s">
        <v>52</v>
      </c>
      <c r="B17" s="19">
        <f>SUMIFS(Dataset!E17:E216,Dataset!B17:B216,A17)</f>
        <v>5801.29</v>
      </c>
    </row>
    <row r="18">
      <c r="A18" s="18" t="s">
        <v>53</v>
      </c>
      <c r="B18" s="19">
        <f>SUMIFS(Dataset!E18:E217,Dataset!B18:B217,A18)</f>
        <v>1450.99</v>
      </c>
    </row>
    <row r="19">
      <c r="A19" s="18" t="s">
        <v>55</v>
      </c>
      <c r="B19" s="19">
        <f>SUMIFS(Dataset!E19:E218,Dataset!B19:B218,A19)</f>
        <v>7522.77</v>
      </c>
    </row>
    <row r="20">
      <c r="A20" s="18" t="s">
        <v>57</v>
      </c>
      <c r="B20" s="19">
        <f>SUMIFS(Dataset!E20:E219,Dataset!B20:B219,A20)</f>
        <v>11915.83</v>
      </c>
    </row>
    <row r="21" ht="15.75" customHeight="1">
      <c r="A21" s="18" t="s">
        <v>58</v>
      </c>
      <c r="B21" s="19">
        <f>SUMIFS(Dataset!E21:E220,Dataset!B21:B220,A21)</f>
        <v>3819.14</v>
      </c>
    </row>
    <row r="22" ht="15.75" customHeight="1">
      <c r="A22" s="18" t="s">
        <v>61</v>
      </c>
      <c r="B22" s="19">
        <f>SUMIFS(Dataset!E22:E221,Dataset!B22:B221,A22)</f>
        <v>5443.34</v>
      </c>
    </row>
    <row r="23" ht="15.75" customHeight="1">
      <c r="A23" s="18" t="s">
        <v>63</v>
      </c>
      <c r="B23" s="19">
        <f>SUMIFS(Dataset!E23:E222,Dataset!B23:B222,A23)</f>
        <v>8543.97</v>
      </c>
    </row>
    <row r="24" ht="15.75" customHeight="1">
      <c r="A24" s="18" t="s">
        <v>64</v>
      </c>
      <c r="B24" s="19">
        <f>SUMIFS(Dataset!E24:E223,Dataset!B24:B223,A24)</f>
        <v>856.7</v>
      </c>
    </row>
    <row r="25" ht="15.75" customHeight="1">
      <c r="A25" s="18" t="s">
        <v>66</v>
      </c>
      <c r="B25" s="19">
        <f>SUMIFS(Dataset!E25:E224,Dataset!B25:B224,A25)</f>
        <v>5771.59</v>
      </c>
    </row>
    <row r="26" ht="15.75" customHeight="1">
      <c r="A26" s="18" t="s">
        <v>68</v>
      </c>
      <c r="B26" s="19">
        <f>SUMIFS(Dataset!E26:E225,Dataset!B26:B225,A26)</f>
        <v>5014.96</v>
      </c>
    </row>
    <row r="27" ht="15.75" customHeight="1">
      <c r="A27" s="18" t="s">
        <v>71</v>
      </c>
      <c r="B27" s="19">
        <f>SUMIFS(Dataset!E27:E226,Dataset!B27:B226,A27)</f>
        <v>2304.9</v>
      </c>
    </row>
    <row r="28" ht="15.75" customHeight="1">
      <c r="A28" s="18" t="s">
        <v>73</v>
      </c>
      <c r="B28" s="19">
        <f>SUMIFS(Dataset!E28:E227,Dataset!B28:B227,A28)</f>
        <v>5465.71</v>
      </c>
    </row>
    <row r="29" ht="15.75" customHeight="1"/>
    <row r="30" ht="15.75" customHeight="1">
      <c r="A30" s="21" t="s">
        <v>81</v>
      </c>
      <c r="B30" s="22">
        <f>SUM(B2:B28)</f>
        <v>195217.76</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21.43"/>
    <col customWidth="1" min="3" max="26" width="8.71"/>
  </cols>
  <sheetData>
    <row r="3"/>
    <row r="4"/>
    <row r="5"/>
    <row r="6"/>
    <row r="7"/>
    <row r="8"/>
    <row r="9"/>
    <row r="10"/>
    <row r="11"/>
    <row r="12"/>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2025-10-15T11:28:00Z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8CADE7DA538242CCB88407310D9A74CC_12</vt:lpwstr>
  </property>
  <property fmtid="{D5CDD505-2E9C-101B-9397-08002B2CF9AE}" pid="3" name="KSOProductBuildVer">
    <vt:lpwstr>1033-12.2.0.22549</vt:lpwstr>
  </property>
</Properties>
</file>