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2"/>
  </bookViews>
  <sheets>
    <sheet name="Project Instructions" sheetId="1" r:id="rId1"/>
    <sheet name="Students Grade" sheetId="2" r:id="rId2"/>
    <sheet name="Sales Data" sheetId="3" r:id="rId3"/>
    <sheet name="Employee Data" sheetId="4" r:id="rId4"/>
  </sheets>
  <definedNames>
    <definedName name="Sales_Amount">OFFSET('Sales Data'!$E$2,0,0,COUNTA('Sales Data'!$A:$A)-1,1)</definedName>
    <definedName name="Sales_Date">OFFSET('Sales Data'!$F$2,0,0,COUNTA('Sales Data'!$A:$A)-1,1)</definedName>
    <definedName name="Amount">'Sales Data'!$E$1:$E$21</definedName>
    <definedName name="SalesData">'Sales Data'!$A$1:$G$21</definedName>
    <definedName name="tushar">'Employee Data'!$A$1:$E$21</definedName>
    <definedName name="student">'Employee Data'!$A$1:$H$21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<sst xmlns="http://schemas.openxmlformats.org/spreadsheetml/2006/main" count="227" uniqueCount="168">
  <si>
    <t>PR. 1 Fundamental Booster</t>
  </si>
  <si>
    <r>
      <rPr>
        <b/>
        <sz val="11"/>
        <color rgb="FF000000"/>
        <rFont val="Calibri, sans-serif"/>
        <charset val="134"/>
      </rPr>
      <t xml:space="preserve">Topics:
</t>
    </r>
    <r>
      <rPr>
        <sz val="11"/>
        <color rgb="FF000000"/>
        <rFont val="Calibri, sans-serif"/>
        <charset val="134"/>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charset val="134"/>
      </rPr>
      <t xml:space="preserve">
</t>
    </r>
    <r>
      <rPr>
        <sz val="11"/>
        <color rgb="FF000000"/>
        <rFont val="Calibri, sans-serif"/>
        <charset val="134"/>
      </rPr>
      <t xml:space="preserve">  
</t>
    </r>
    <r>
      <rPr>
        <b/>
        <sz val="11"/>
        <color rgb="FF38761D"/>
        <rFont val="Calibri, sans-serif"/>
        <charset val="134"/>
      </rPr>
      <t>Main Tasks:</t>
    </r>
    <r>
      <rPr>
        <sz val="11"/>
        <color rgb="FF38761D"/>
        <rFont val="Calibri, sans-serif"/>
        <charset val="134"/>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charset val="134"/>
      </rPr>
      <t xml:space="preserve">
</t>
    </r>
    <r>
      <rPr>
        <b/>
        <sz val="11"/>
        <color rgb="FF000000"/>
        <rFont val="Calibri, sans-serif"/>
        <charset val="134"/>
      </rPr>
      <t xml:space="preserve">Deliverable:
</t>
    </r>
    <r>
      <rPr>
        <sz val="11"/>
        <color rgb="FF000000"/>
        <rFont val="Calibri, sans-serif"/>
        <charset val="134"/>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</si>
  <si>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</si>
  <si>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</si>
  <si>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</si>
  <si>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</si>
  <si>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</si>
  <si>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</si>
  <si>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</si>
  <si>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</si>
  <si>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</si>
  <si>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</si>
  <si>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</si>
  <si>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</si>
  <si>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</si>
  <si>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</si>
  <si>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</si>
  <si>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</si>
  <si>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</si>
  <si>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</si>
  <si>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</si>
  <si>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</si>
  <si>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</si>
  <si>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</si>
  <si>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</si>
  <si>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</si>
  <si>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</si>
  <si>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</si>
  <si>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</si>
  <si>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</si>
  <si>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</si>
  <si>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</si>
  <si>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</si>
  <si>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</si>
  <si>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</si>
  <si>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</si>
  <si>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</si>
  <si>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</si>
  <si>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</si>
  <si>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</si>
  <si>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</si>
  <si>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</si>
  <si>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</si>
  <si>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</si>
  <si>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</si>
  <si>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</si>
  <si>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</si>
  <si>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Obtained Marks</t>
  </si>
  <si>
    <t>Percentage</t>
  </si>
  <si>
    <t>Avarage</t>
  </si>
  <si>
    <t>Grade</t>
  </si>
  <si>
    <t>Above 80 marks in both?</t>
  </si>
  <si>
    <t>Round Avarage</t>
  </si>
  <si>
    <t>Ceil Avarage</t>
  </si>
  <si>
    <t>Floor avarage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</si>
  <si>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</si>
  <si>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</si>
  <si>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</si>
  <si>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</si>
  <si>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</si>
  <si>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</si>
  <si>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</si>
  <si>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</si>
  <si>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</si>
  <si>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</si>
  <si>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</si>
  <si>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</si>
  <si>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</si>
  <si>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</si>
  <si>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</si>
  <si>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</si>
  <si>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</si>
  <si>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</si>
  <si>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</si>
  <si>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</si>
  <si>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Total</t>
  </si>
  <si>
    <t>QUESTION</t>
  </si>
  <si>
    <t>Answer</t>
  </si>
  <si>
    <t>Count students scoring &gt; 60</t>
  </si>
  <si>
    <t>the average score for students who scored above 60.</t>
  </si>
  <si>
    <t>Top Performing Student</t>
  </si>
  <si>
    <t>Sales ID</t>
  </si>
  <si>
    <t>Product</t>
  </si>
  <si>
    <t>Region</t>
  </si>
  <si>
    <t>Salesperson</t>
  </si>
  <si>
    <t>Amount</t>
  </si>
  <si>
    <t>Date</t>
  </si>
  <si>
    <t>Bonus</t>
  </si>
  <si>
    <t>Keyboard</t>
  </si>
  <si>
    <t>South</t>
  </si>
  <si>
    <t>Person 1</t>
  </si>
  <si>
    <t>Printer</t>
  </si>
  <si>
    <t>West</t>
  </si>
  <si>
    <t>Person 2</t>
  </si>
  <si>
    <t>Product ID</t>
  </si>
  <si>
    <t>Price</t>
  </si>
  <si>
    <t>Mouse</t>
  </si>
  <si>
    <t>Person 3</t>
  </si>
  <si>
    <t>OFFSET</t>
  </si>
  <si>
    <t>ANSWER</t>
  </si>
  <si>
    <t>East</t>
  </si>
  <si>
    <t>Person 4</t>
  </si>
  <si>
    <t>Total Sales Amount</t>
  </si>
  <si>
    <t>North</t>
  </si>
  <si>
    <t>Person 5</t>
  </si>
  <si>
    <t>Person 6</t>
  </si>
  <si>
    <t>Average Monthly Sales</t>
  </si>
  <si>
    <t>Person 7</t>
  </si>
  <si>
    <t>Index</t>
  </si>
  <si>
    <t>Person 8</t>
  </si>
  <si>
    <t>Sales Count</t>
  </si>
  <si>
    <t>Person 9</t>
  </si>
  <si>
    <t>Person 10</t>
  </si>
  <si>
    <t>Criteria</t>
  </si>
  <si>
    <t>Bonus Rate</t>
  </si>
  <si>
    <t>Person 11</t>
  </si>
  <si>
    <t>amount&gt;30000</t>
  </si>
  <si>
    <t>Monitor</t>
  </si>
  <si>
    <t>Person 12</t>
  </si>
  <si>
    <t>amount&gt;20000</t>
  </si>
  <si>
    <t>Laptop</t>
  </si>
  <si>
    <t>Person 13</t>
  </si>
  <si>
    <t>amount&gt;10000</t>
  </si>
  <si>
    <t>Person 14</t>
  </si>
  <si>
    <t>Else</t>
  </si>
  <si>
    <t>No Bonus</t>
  </si>
  <si>
    <t>Person 15</t>
  </si>
  <si>
    <t>Person 16</t>
  </si>
  <si>
    <t>Person 17</t>
  </si>
  <si>
    <t>Person 18</t>
  </si>
  <si>
    <t>Person 19</t>
  </si>
  <si>
    <t>Person 20</t>
  </si>
  <si>
    <t>Employee ID</t>
  </si>
  <si>
    <t>Department</t>
  </si>
  <si>
    <t>Salary</t>
  </si>
  <si>
    <t>Joining Date</t>
  </si>
  <si>
    <t>UPPER</t>
  </si>
  <si>
    <t>LOWER</t>
  </si>
  <si>
    <t>Join in Years</t>
  </si>
  <si>
    <t>Employee 1</t>
  </si>
  <si>
    <t>Finance</t>
  </si>
  <si>
    <t>Employee 2</t>
  </si>
  <si>
    <t>Employee id</t>
  </si>
  <si>
    <t>Employee 3</t>
  </si>
  <si>
    <t>HR</t>
  </si>
  <si>
    <t>Employee 4</t>
  </si>
  <si>
    <t>Employee 5</t>
  </si>
  <si>
    <t>IT</t>
  </si>
  <si>
    <t>Employee 6</t>
  </si>
  <si>
    <t>Employee 7</t>
  </si>
  <si>
    <t>Marketing</t>
  </si>
  <si>
    <t>Employee 8</t>
  </si>
  <si>
    <t>c6</t>
  </si>
  <si>
    <t>Employee 9</t>
  </si>
  <si>
    <t>Employee 10</t>
  </si>
  <si>
    <t>Employee 11</t>
  </si>
  <si>
    <t>Employee 12</t>
  </si>
  <si>
    <t>Employee 13</t>
  </si>
  <si>
    <t>Employee 14</t>
  </si>
  <si>
    <t>cell address</t>
  </si>
  <si>
    <t>value</t>
  </si>
  <si>
    <t>Employee 15</t>
  </si>
  <si>
    <t>C3</t>
  </si>
  <si>
    <t>Employee 16</t>
  </si>
  <si>
    <t>Employee 17</t>
  </si>
  <si>
    <t>Employee 18</t>
  </si>
  <si>
    <t>Employee 19</t>
  </si>
  <si>
    <t>Employee 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</si>
</sst>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
    <numFmt numFmtId="181" formatCode="[$-409]dddd\,mmmm\ d\,yyyy"/>
    <numFmt numFmtId="182" formatCode="yyyy/mm/dd\ hh:mm:ss"/>
    <numFmt numFmtId="183" formatCode="0_);[Red]\(0\)"/>
    <numFmt numFmtId="184" formatCode="0.00_);[Red]\(0.00\)"/>
  </numFmts>
  <fonts count="31">
    <font>
      <sz val="11"/>
      <color theme="1"/>
      <name val="Calibri"/>
      <charset val="134"/>
      <scheme val="minor"/>
    </font>
    <font>
      <b/>
      <sz val="11"/>
      <color rgb="FF000000"/>
      <name val="Calibri"/>
      <charset val="134"/>
    </font>
    <font>
      <b/>
      <sz val="11"/>
      <color theme="3"/>
      <name val="Calibri"/>
      <charset val="134"/>
    </font>
    <font>
      <sz val="11"/>
      <color rgb="FF000000"/>
      <name val="Calibri"/>
      <charset val="134"/>
    </font>
    <font>
      <sz val="11"/>
      <color theme="1"/>
      <name val="Calibri"/>
      <charset val="134"/>
    </font>
    <font>
      <b/>
      <sz val="11"/>
      <color theme="1"/>
      <name val="Calibri"/>
      <charset val="134"/>
    </font>
    <font>
      <b/>
      <sz val="11"/>
      <color theme="0"/>
      <name val="Calibri"/>
      <charset val="134"/>
    </font>
    <font>
      <b/>
      <sz val="11"/>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000000"/>
      <name val="Calibri, sans-serif"/>
      <charset val="134"/>
    </font>
    <font>
      <sz val="11"/>
      <color rgb="FF000000"/>
      <name val="Calibri, sans-serif"/>
      <charset val="134"/>
    </font>
    <font>
      <b/>
      <sz val="11"/>
      <color rgb="FF38761D"/>
      <name val="Calibri, sans-serif"/>
      <charset val="134"/>
    </font>
    <font>
      <sz val="11"/>
      <color rgb="FF38761D"/>
      <name val="Calibri, sans-serif"/>
      <charset val="134"/>
    </font>
  </fonts>
  <fills count="41">
    <fill>
      <patternFill patternType="none"/>
    </fill>
    <fill>
      <patternFill patternType="gray125"/>
    </fill>
    <fill>
      <patternFill patternType="solid">
        <fgColor theme="2"/>
        <bgColor theme="9"/>
      </patternFill>
    </fill>
    <fill>
      <patternFill patternType="solid">
        <fgColor theme="2"/>
        <bgColor theme="4"/>
      </patternFill>
    </fill>
    <fill>
      <patternFill patternType="solid">
        <fgColor theme="0"/>
        <bgColor theme="0"/>
      </patternFill>
    </fill>
    <fill>
      <patternFill patternType="solid">
        <fgColor theme="1"/>
        <bgColor theme="9"/>
      </patternFill>
    </fill>
    <fill>
      <patternFill patternType="solid">
        <fgColor theme="2"/>
        <bgColor theme="1"/>
      </patternFill>
    </fill>
    <fill>
      <patternFill patternType="solid">
        <fgColor rgb="FFDBE5F1"/>
        <bgColor rgb="FFDBE5F1"/>
      </patternFill>
    </fill>
    <fill>
      <patternFill patternType="solid">
        <fgColor theme="1"/>
        <bgColor theme="1"/>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theme="4"/>
      </left>
      <right/>
      <top style="thin">
        <color rgb="FF95B3D7"/>
      </top>
      <bottom style="thin">
        <color rgb="FF95B3D7"/>
      </bottom>
      <diagonal/>
    </border>
    <border>
      <left/>
      <right style="thin">
        <color theme="4"/>
      </right>
      <top style="thin">
        <color rgb="FF95B3D7"/>
      </top>
      <bottom style="thin">
        <color rgb="FF95B3D7"/>
      </bottom>
      <diagonal/>
    </border>
    <border>
      <left/>
      <right style="thin">
        <color theme="4"/>
      </right>
      <top style="thin">
        <color rgb="FF95B3D7"/>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0"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11" borderId="8" applyNumberFormat="0" applyAlignment="0" applyProtection="0">
      <alignment vertical="center"/>
    </xf>
    <xf numFmtId="0" fontId="17" fillId="12" borderId="9" applyNumberFormat="0" applyAlignment="0" applyProtection="0">
      <alignment vertical="center"/>
    </xf>
    <xf numFmtId="0" fontId="18" fillId="12" borderId="8" applyNumberFormat="0" applyAlignment="0" applyProtection="0">
      <alignment vertical="center"/>
    </xf>
    <xf numFmtId="0" fontId="19" fillId="13"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52">
    <xf numFmtId="0" fontId="0" fillId="0" borderId="0" xfId="0" applyFont="1" applyAlignment="1"/>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180" fontId="1" fillId="2" borderId="1" xfId="0" applyNumberFormat="1" applyFont="1" applyFill="1" applyBorder="1" applyAlignment="1">
      <alignment horizontal="center" vertical="center"/>
    </xf>
    <xf numFmtId="181" fontId="1" fillId="2" borderId="1"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3" fillId="0" borderId="1" xfId="0" applyFont="1" applyBorder="1" applyAlignment="1">
      <alignment horizontal="center" vertical="center"/>
    </xf>
    <xf numFmtId="180" fontId="3" fillId="0" borderId="1" xfId="0" applyNumberFormat="1" applyFont="1" applyBorder="1" applyAlignment="1">
      <alignment horizontal="center" vertical="center"/>
    </xf>
    <xf numFmtId="182" fontId="3" fillId="0" borderId="1" xfId="0" applyNumberFormat="1" applyFont="1" applyBorder="1" applyAlignment="1">
      <alignment horizontal="center" vertical="center"/>
    </xf>
    <xf numFmtId="0" fontId="4" fillId="0" borderId="0" xfId="0" applyFont="1" applyAlignment="1">
      <alignment horizontal="center" vertical="center"/>
    </xf>
    <xf numFmtId="180" fontId="4" fillId="0" borderId="0" xfId="0" applyNumberFormat="1" applyFont="1" applyAlignment="1">
      <alignment horizontal="center" vertical="center"/>
    </xf>
    <xf numFmtId="0" fontId="5" fillId="2" borderId="0" xfId="0" applyFont="1" applyFill="1" applyBorder="1" applyAlignment="1">
      <alignment horizontal="center" vertical="center"/>
    </xf>
    <xf numFmtId="0" fontId="4" fillId="3" borderId="0" xfId="0" applyFont="1" applyFill="1" applyBorder="1" applyAlignment="1">
      <alignment horizontal="center" vertical="center"/>
    </xf>
    <xf numFmtId="0" fontId="5" fillId="4" borderId="0" xfId="0" applyFont="1" applyFill="1" applyBorder="1" applyAlignment="1">
      <alignment horizontal="center" vertical="center"/>
    </xf>
    <xf numFmtId="0" fontId="6" fillId="4" borderId="0" xfId="0" applyFont="1" applyFill="1" applyBorder="1" applyAlignment="1">
      <alignment horizontal="center" vertical="center"/>
    </xf>
    <xf numFmtId="0" fontId="4" fillId="0" borderId="0" xfId="0" applyFont="1"/>
    <xf numFmtId="0" fontId="1" fillId="2" borderId="0" xfId="0" applyFont="1" applyFill="1" applyAlignment="1">
      <alignment horizontal="center" vertical="center"/>
    </xf>
    <xf numFmtId="180" fontId="0" fillId="0" borderId="0" xfId="0" applyNumberFormat="1" applyFont="1"/>
    <xf numFmtId="0" fontId="6" fillId="5" borderId="1" xfId="0" applyFont="1" applyFill="1" applyBorder="1" applyAlignment="1">
      <alignment horizontal="center" vertical="center"/>
    </xf>
    <xf numFmtId="180" fontId="6" fillId="5" borderId="1" xfId="0" applyNumberFormat="1" applyFont="1" applyFill="1" applyBorder="1" applyAlignment="1">
      <alignment horizontal="center" vertical="center"/>
    </xf>
    <xf numFmtId="181" fontId="6" fillId="5" borderId="1" xfId="0" applyNumberFormat="1" applyFont="1" applyFill="1" applyBorder="1" applyAlignment="1">
      <alignment horizontal="center" vertical="center"/>
    </xf>
    <xf numFmtId="9" fontId="6" fillId="5" borderId="0" xfId="0" applyNumberFormat="1" applyFont="1" applyFill="1" applyBorder="1" applyAlignment="1">
      <alignment horizontal="center" vertical="center"/>
    </xf>
    <xf numFmtId="9" fontId="4" fillId="0" borderId="0" xfId="0" applyNumberFormat="1" applyFont="1" applyAlignment="1">
      <alignment horizontal="center" vertical="center"/>
    </xf>
    <xf numFmtId="0" fontId="5" fillId="6" borderId="0" xfId="0" applyFont="1" applyFill="1" applyBorder="1" applyAlignment="1">
      <alignment horizontal="center" vertical="center"/>
    </xf>
    <xf numFmtId="0" fontId="5" fillId="2" borderId="0" xfId="0" applyFont="1" applyFill="1" applyBorder="1" applyAlignment="1">
      <alignment horizontal="center"/>
    </xf>
    <xf numFmtId="180" fontId="4" fillId="2" borderId="0" xfId="0" applyNumberFormat="1" applyFont="1" applyFill="1" applyBorder="1" applyAlignment="1">
      <alignment horizontal="center" vertical="center"/>
    </xf>
    <xf numFmtId="0" fontId="5" fillId="2" borderId="0" xfId="0" applyFont="1" applyFill="1" applyBorder="1"/>
    <xf numFmtId="0" fontId="4" fillId="2" borderId="0" xfId="0" applyFont="1" applyFill="1" applyBorder="1" applyAlignment="1">
      <alignment horizontal="center" vertical="center"/>
    </xf>
    <xf numFmtId="0" fontId="4" fillId="4" borderId="0" xfId="0" applyFont="1" applyFill="1" applyBorder="1" applyAlignment="1">
      <alignment horizontal="center" vertical="center"/>
    </xf>
    <xf numFmtId="0" fontId="4" fillId="7" borderId="2" xfId="0" applyFont="1" applyFill="1" applyBorder="1" applyAlignment="1">
      <alignment horizontal="center" vertical="center"/>
    </xf>
    <xf numFmtId="9" fontId="4" fillId="7" borderId="3" xfId="0" applyNumberFormat="1" applyFont="1" applyFill="1" applyBorder="1" applyAlignment="1">
      <alignment horizontal="center" vertical="center"/>
    </xf>
    <xf numFmtId="9" fontId="4" fillId="0" borderId="3" xfId="0" applyNumberFormat="1" applyFont="1" applyBorder="1" applyAlignment="1">
      <alignment horizontal="center" vertical="center"/>
    </xf>
    <xf numFmtId="0" fontId="4" fillId="0" borderId="4" xfId="0" applyFont="1" applyBorder="1" applyAlignment="1">
      <alignment horizontal="center" vertical="center"/>
    </xf>
    <xf numFmtId="180" fontId="4" fillId="0" borderId="0" xfId="0" applyNumberFormat="1" applyFont="1"/>
    <xf numFmtId="9" fontId="4" fillId="0" borderId="0" xfId="0" applyNumberFormat="1" applyFont="1"/>
    <xf numFmtId="10" fontId="0" fillId="0" borderId="0" xfId="0" applyNumberFormat="1" applyFont="1" applyAlignment="1"/>
    <xf numFmtId="183" fontId="4" fillId="0" borderId="0" xfId="0" applyNumberFormat="1" applyFont="1" applyAlignment="1">
      <alignment horizontal="center" vertical="center"/>
    </xf>
    <xf numFmtId="184" fontId="4" fillId="0" borderId="0" xfId="0" applyNumberFormat="1" applyFont="1" applyAlignment="1">
      <alignment horizontal="center" vertical="center"/>
    </xf>
    <xf numFmtId="0" fontId="3" fillId="0" borderId="0" xfId="0" applyFont="1" applyAlignment="1">
      <alignment horizontal="center" vertical="center"/>
    </xf>
    <xf numFmtId="182" fontId="3" fillId="0" borderId="0" xfId="0" applyNumberFormat="1" applyFont="1" applyAlignment="1">
      <alignment horizontal="center" vertical="center"/>
    </xf>
    <xf numFmtId="0" fontId="7" fillId="6" borderId="0" xfId="0" applyFont="1" applyFill="1" applyBorder="1" applyAlignment="1">
      <alignment horizontal="center" vertical="center"/>
    </xf>
    <xf numFmtId="0" fontId="6" fillId="5" borderId="0" xfId="0" applyFont="1" applyFill="1" applyBorder="1" applyAlignment="1">
      <alignment horizontal="center" vertical="center"/>
    </xf>
    <xf numFmtId="0" fontId="6" fillId="5" borderId="0" xfId="0" applyFont="1" applyFill="1" applyBorder="1"/>
    <xf numFmtId="0" fontId="6" fillId="8" borderId="0" xfId="0" applyFont="1" applyFill="1" applyBorder="1" applyAlignment="1">
      <alignment horizontal="center" vertical="center"/>
    </xf>
    <xf numFmtId="0" fontId="7" fillId="2" borderId="0" xfId="0" applyFont="1" applyFill="1" applyBorder="1" applyAlignment="1">
      <alignment horizontal="center" vertical="center"/>
    </xf>
    <xf numFmtId="183" fontId="4" fillId="0" borderId="0" xfId="0" applyNumberFormat="1" applyFont="1"/>
    <xf numFmtId="184" fontId="4" fillId="0" borderId="0" xfId="0" applyNumberFormat="1" applyFont="1"/>
    <xf numFmtId="0" fontId="5" fillId="9" borderId="1" xfId="0" applyFont="1" applyFill="1" applyBorder="1" applyAlignment="1">
      <alignment horizontal="center" vertical="center"/>
    </xf>
    <xf numFmtId="0" fontId="4" fillId="0" borderId="0" xfId="0" applyFont="1" applyAlignment="1">
      <alignment vertical="center"/>
    </xf>
    <xf numFmtId="0" fontId="3" fillId="0" borderId="1" xfId="0" applyFont="1" applyBorder="1" applyAlignment="1">
      <alignment vertical="center"/>
    </xf>
    <xf numFmtId="0" fontId="5" fillId="0" borderId="1" xfId="0" applyFont="1" applyBorder="1" applyAlignment="1">
      <alignment vertical="center"/>
    </xf>
    <xf numFmtId="0" fontId="4" fillId="0" borderId="1" xfId="0"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71">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82" formatCode="yyyy/mm/dd\ hh:mm:ss"/>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theme="1"/>
      </font>
      <numFmt numFmtId="183" formatCode="0_);[Red]\(0\)"/>
      <alignment horizontal="center" vertical="center"/>
    </dxf>
    <dxf>
      <font>
        <name val="Calibri"/>
        <scheme val="none"/>
        <charset val="134"/>
        <family val="0"/>
        <b val="0"/>
        <i val="0"/>
        <strike val="0"/>
        <u val="none"/>
        <sz val="11"/>
        <color theme="1"/>
      </font>
      <numFmt numFmtId="184" formatCode="0.00_);[Red]\(0.00\)"/>
      <alignment horizontal="center" vertical="center"/>
    </dxf>
    <dxf>
      <font>
        <name val="Calibri"/>
        <scheme val="none"/>
        <charset val="134"/>
        <family val="0"/>
        <b val="0"/>
        <i val="0"/>
        <strike val="0"/>
        <u val="none"/>
        <sz val="11"/>
        <color theme="1"/>
      </font>
      <numFmt numFmtId="184" formatCode="0.00_);[Red]\(0.00\)"/>
      <alignment horizontal="center" vertical="center"/>
    </dxf>
    <dxf>
      <font>
        <name val="Calibri"/>
        <scheme val="none"/>
        <charset val="134"/>
        <family val="0"/>
        <b val="0"/>
        <i val="0"/>
        <strike val="0"/>
        <u val="none"/>
        <sz val="11"/>
        <color theme="1"/>
      </font>
      <alignment horizontal="center" vertical="center"/>
    </dxf>
    <dxf>
      <font>
        <name val="Calibri"/>
        <scheme val="none"/>
        <charset val="134"/>
        <family val="0"/>
        <b val="0"/>
        <i val="0"/>
        <strike val="0"/>
        <u val="none"/>
        <sz val="11"/>
        <color theme="1"/>
      </font>
      <alignment horizontal="center" vertical="center"/>
    </dxf>
    <dxf>
      <font>
        <name val="Calibri"/>
        <scheme val="none"/>
        <charset val="134"/>
        <family val="0"/>
        <b val="0"/>
        <i val="0"/>
        <strike val="0"/>
        <u val="none"/>
        <sz val="11"/>
        <color theme="1"/>
      </font>
      <numFmt numFmtId="184" formatCode="0.00_);[Red]\(0.00\)"/>
      <alignment horizontal="center" vertical="center"/>
    </dxf>
    <dxf>
      <font>
        <name val="Calibri"/>
        <scheme val="none"/>
        <charset val="134"/>
        <family val="0"/>
        <b val="0"/>
        <i val="0"/>
        <strike val="0"/>
        <u val="none"/>
        <sz val="11"/>
        <color theme="1"/>
      </font>
      <alignment horizontal="center" vertical="center"/>
    </dxf>
    <dxf>
      <font>
        <name val="Calibri"/>
        <scheme val="none"/>
        <charset val="134"/>
        <family val="0"/>
        <b val="0"/>
        <i val="0"/>
        <strike val="0"/>
        <u val="none"/>
        <sz val="11"/>
        <color theme="1"/>
      </font>
      <alignment horizontal="center" vertical="cent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80" formatCode="[$₹]#,##0.00"/>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82" formatCode="yyyy/mm/dd\ hh:mm:ss"/>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theme="1"/>
      </font>
      <numFmt numFmtId="9" formatCode="0%"/>
      <alignment horizontal="center" vertical="center"/>
    </dxf>
    <dxf>
      <font>
        <name val="Calibri"/>
        <scheme val="none"/>
        <charset val="134"/>
        <family val="0"/>
        <b val="0"/>
        <i val="0"/>
        <strike val="0"/>
        <u val="none"/>
        <sz val="11"/>
        <color theme="1"/>
      </font>
      <fill>
        <patternFill patternType="solid">
          <fgColor rgb="FFDBE5F1"/>
          <bgColor rgb="FFDBE5F1"/>
        </patternFill>
      </fill>
      <alignment horizontal="center" vertical="center"/>
      <border>
        <left style="thin">
          <color theme="4"/>
        </left>
        <right/>
        <top style="thin">
          <color rgb="FF95B3D7"/>
        </top>
        <bottom style="thin">
          <color rgb="FF95B3D7"/>
        </bottom>
      </border>
    </dxf>
    <dxf>
      <font>
        <name val="Calibri"/>
        <scheme val="minor"/>
        <charset val="134"/>
        <family val="0"/>
        <b val="0"/>
        <i val="0"/>
        <strike val="0"/>
        <u val="none"/>
        <sz val="11"/>
        <color theme="1"/>
      </font>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80" formatCode="[$₹]#,##0.00"/>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82" formatCode="yyyy/mm/dd\ hh:mm:ss"/>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theme="1"/>
      </font>
      <alignment horizontal="center" vertical="center"/>
    </dxf>
    <dxf>
      <font>
        <name val="Calibri"/>
        <scheme val="none"/>
        <charset val="134"/>
        <family val="0"/>
        <b val="0"/>
        <i val="0"/>
        <strike val="0"/>
        <u val="none"/>
        <sz val="11"/>
        <color theme="1"/>
      </font>
      <alignment horizontal="center" vertical="center"/>
    </dxf>
    <dxf>
      <font>
        <name val="Calibri"/>
        <scheme val="none"/>
        <charset val="134"/>
        <family val="0"/>
        <b val="0"/>
        <i val="0"/>
        <strike val="0"/>
        <u val="none"/>
        <sz val="11"/>
        <color theme="1"/>
      </font>
      <alignment horizontal="center"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599993896298105"/>
          <bgColor theme="4" tint="0.599993896298105"/>
        </patternFill>
      </fill>
    </dxf>
    <dxf>
      <fill>
        <patternFill patternType="solid">
          <fgColor theme="4" tint="0.599993896298105"/>
          <bgColor theme="4" tint="0.599993896298105"/>
        </patternFill>
      </fill>
    </dxf>
    <dxf>
      <font>
        <b val="1"/>
        <color theme="0"/>
      </font>
      <fill>
        <patternFill patternType="solid">
          <fgColor theme="4"/>
          <bgColor theme="4"/>
        </patternFill>
      </fill>
    </dxf>
    <dxf>
      <font>
        <b val="1"/>
        <color theme="0"/>
      </font>
      <fill>
        <patternFill patternType="solid">
          <fgColor theme="4"/>
          <bgColor theme="4"/>
        </patternFill>
      </fill>
    </dxf>
    <dxf>
      <font>
        <b val="1"/>
        <color theme="1"/>
      </font>
      <fill>
        <patternFill patternType="solid">
          <fgColor theme="4" tint="0.799981688894314"/>
          <bgColor theme="4" tint="0.799981688894314"/>
        </patternFill>
      </fill>
      <border>
        <top style="thick">
          <color theme="0"/>
        </top>
        <vertical/>
        <horizontal/>
      </border>
    </dxf>
    <dxf>
      <font>
        <b val="1"/>
        <color theme="0"/>
      </font>
      <fill>
        <patternFill patternType="solid">
          <fgColor theme="4"/>
          <bgColor theme="4"/>
        </patternFill>
      </fill>
      <border>
        <bottom style="thick">
          <color theme="0"/>
        </bottom>
      </border>
    </dxf>
    <dxf>
      <font>
        <color theme="1"/>
      </font>
      <fill>
        <patternFill patternType="solid">
          <fgColor theme="4" tint="0.799981688894314"/>
          <bgColor theme="4" tint="0.799981688894314"/>
        </patternFill>
      </fill>
      <border>
        <vertical style="thin">
          <color theme="0"/>
        </vertical>
        <horizontal style="thin">
          <color theme="0"/>
        </horizontal>
      </border>
    </dxf>
    <dxf>
      <border>
        <left style="thin">
          <color theme="4"/>
        </left>
      </border>
    </dxf>
    <dxf>
      <border>
        <left style="thin">
          <color theme="4"/>
        </left>
      </border>
    </dxf>
    <dxf>
      <border>
        <top style="thin">
          <color theme="4"/>
        </top>
      </border>
    </dxf>
    <dxf>
      <border>
        <top style="thin">
          <color theme="4"/>
        </top>
      </border>
    </dxf>
    <dxf>
      <font>
        <b val="1"/>
        <color theme="1"/>
      </font>
    </dxf>
    <dxf>
      <font>
        <b val="1"/>
        <color theme="1"/>
      </font>
    </dxf>
    <dxf>
      <font>
        <b val="1"/>
        <color theme="0"/>
      </font>
      <fill>
        <patternFill patternType="solid">
          <fgColor theme="4"/>
          <bgColor theme="4"/>
        </patternFill>
      </fill>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solid">
          <fgColor theme="4" tint="0.599993896298105"/>
          <bgColor theme="4" tint="0.599993896298105"/>
        </patternFill>
      </fill>
    </dxf>
    <dxf>
      <fill>
        <patternFill patternType="solid">
          <fgColor theme="4" tint="0.599993896298105"/>
          <bgColor theme="4" tint="0.599993896298105"/>
        </patternFill>
      </fill>
    </dxf>
    <dxf>
      <font>
        <b val="1"/>
        <color theme="1"/>
      </font>
    </dxf>
    <dxf>
      <font>
        <b val="1"/>
        <color theme="1"/>
      </font>
    </dxf>
    <dxf>
      <font>
        <b val="1"/>
        <color theme="0"/>
      </font>
      <fill>
        <patternFill patternType="solid">
          <fgColor theme="4"/>
          <bgColor theme="4"/>
        </patternFill>
      </fill>
      <border>
        <top style="thick">
          <color theme="0"/>
        </top>
        <vertical style="thin">
          <color theme="4"/>
        </vertical>
      </border>
    </dxf>
    <dxf>
      <font>
        <b val="1"/>
        <color theme="0"/>
      </font>
      <fill>
        <patternFill patternType="solid">
          <fgColor theme="4"/>
          <bgColor theme="4"/>
        </patternFill>
      </fill>
      <border>
        <bottom style="thick">
          <color theme="0"/>
        </bottom>
      </border>
    </dxf>
    <dxf>
      <font>
        <color theme="1"/>
      </font>
      <fill>
        <patternFill patternType="solid">
          <fgColor theme="4" tint="0.799981688894314"/>
          <bgColor theme="4" tint="0.799981688894314"/>
        </patternFill>
      </fill>
      <border>
        <vertical style="thin">
          <color theme="0"/>
        </vertical>
        <horizontal style="thin">
          <color theme="0"/>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5" defaultTableStyle="TableStylePreset3_Accent1" defaultPivotStyle="PivotStylePreset2_Accent1">
    <tableStyle name="TableStylePreset3_Accent1" pivot="0" count="7" xr9:uid="{59DB682C-5494-4EDE-A608-00C9E5F0F923}">
      <tableStyleElement type="wholeTable" dxfId="37"/>
      <tableStyleElement type="headerRow" dxfId="36"/>
      <tableStyleElement type="totalRow" dxfId="35"/>
      <tableStyleElement type="firstColumn" dxfId="34"/>
      <tableStyleElement type="lastColumn" dxfId="33"/>
      <tableStyleElement type="firstRowStripe" dxfId="32"/>
      <tableStyleElement type="firstColumnStripe" dxfId="31"/>
    </tableStyle>
    <tableStyle name="TableStylePreset4_Accent1" pivot="0" count="7" xr9:uid="{E80031A0-62FC-435E-9621-CFD856E535BA}">
      <tableStyleElement type="wholeTable" dxfId="44"/>
      <tableStyleElement type="headerRow" dxfId="43"/>
      <tableStyleElement type="totalRow" dxfId="42"/>
      <tableStyleElement type="firstColumn" dxfId="41"/>
      <tableStyleElement type="lastColumn" dxfId="40"/>
      <tableStyleElement type="firstRowStripe" dxfId="39"/>
      <tableStyleElement type="firstColumnStripe" dxfId="38"/>
    </tableStyle>
    <tableStyle name="TableStylePreset6_Accent1" pivot="0" count="9" xr9:uid="{BE2BE8DD-DB61-4529-A57E-709EE2450B04}">
      <tableStyleElement type="wholeTable" dxfId="53"/>
      <tableStyleElement type="headerRow" dxfId="52"/>
      <tableStyleElement type="totalRow" dxfId="51"/>
      <tableStyleElement type="firstColumn" dxfId="50"/>
      <tableStyleElement type="lastColumn" dxfId="49"/>
      <tableStyleElement type="firstRowStripe" dxfId="48"/>
      <tableStyleElement type="secondRowStripe" dxfId="47"/>
      <tableStyleElement type="firstColumnStripe" dxfId="46"/>
      <tableStyleElement type="secondColumnStripe" dxfId="45"/>
    </tableStyle>
    <tableStyle name="TableStylePreset7_Accent1" pivot="0" count="7" xr9:uid="{231989B4-D35C-4C40-A848-29698E0BA3CE}">
      <tableStyleElement type="wholeTable" dxfId="60"/>
      <tableStyleElement type="headerRow" dxfId="59"/>
      <tableStyleElement type="totalRow" dxfId="58"/>
      <tableStyleElement type="firstColumn" dxfId="57"/>
      <tableStyleElement type="lastColumn" dxfId="56"/>
      <tableStyleElement type="firstRowStripe" dxfId="55"/>
      <tableStyleElement type="firstColumnStripe" dxfId="54"/>
    </tableStyle>
    <tableStyle name="PivotStylePreset2_Accent1" table="0" count="10" xr9:uid="{267968C8-6FFD-4C36-ACC1-9EA1FD1885CA}">
      <tableStyleElement type="headerRow" dxfId="70"/>
      <tableStyleElement type="totalRow" dxfId="69"/>
      <tableStyleElement type="firstRowStripe" dxfId="68"/>
      <tableStyleElement type="firstColumnStripe" dxfId="67"/>
      <tableStyleElement type="firstSubtotalRow" dxfId="66"/>
      <tableStyleElement type="secondSubtotalRow" dxfId="65"/>
      <tableStyleElement type="firstRowSubheading" dxfId="64"/>
      <tableStyleElement type="secondRowSubheading" dxfId="63"/>
      <tableStyleElement type="pageFieldLabels" dxfId="62"/>
      <tableStyleElement type="pageFieldValues" dxfId="6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2:N23" totalsRowCount="1">
  <autoFilter xmlns:etc="http://www.wps.cn/officeDocument/2017/etCustomData" ref="A2:N22" etc:filterBottomFollowUsedRange="0"/>
  <tableColumns count="14">
    <tableColumn id="1" name="Student ID" dataDxfId="0" totalsRowLabel="Total"/>
    <tableColumn id="2" name="Name" dataDxfId="1"/>
    <tableColumn id="3" name="Math" dataDxfId="2"/>
    <tableColumn id="4" name="Science" dataDxfId="3"/>
    <tableColumn id="5" name="English" dataDxfId="4"/>
    <tableColumn id="6" name="Enrollment Date" dataDxfId="5"/>
    <tableColumn id="7" name="Obtained Marks" dataDxfId="6">
      <calculatedColumnFormula>SUM(C3:E3)</calculatedColumnFormula>
    </tableColumn>
    <tableColumn id="8" name="Percentage" dataDxfId="7">
      <calculatedColumnFormula>G3/$P$2*100</calculatedColumnFormula>
    </tableColumn>
    <tableColumn id="9" name="Avarage" dataDxfId="8">
      <calculatedColumnFormula>AVERAGE(C3:E3)</calculatedColumnFormula>
    </tableColumn>
    <tableColumn id="10" name="Grade" dataDxfId="9">
      <calculatedColumnFormula array="1">IF(I3&gt;80,"A",IF(I3&gt;70,"B",IF(I3&gt;60,"C",IF(I3&gt;50,"D",IF(I3&gt;40,"E",FAIL)))))</calculatedColumnFormula>
    </tableColumn>
    <tableColumn id="11" name="Above 80 marks in both?" dataDxfId="10">
      <calculatedColumnFormula>IF(AND(C3,D3&gt;80),"YES","NO")</calculatedColumnFormula>
    </tableColumn>
    <tableColumn id="12" name="Round Avarage" dataDxfId="11">
      <calculatedColumnFormula>ROUND(I3,1)</calculatedColumnFormula>
    </tableColumn>
    <tableColumn id="13" name="Ceil Avarage" dataDxfId="12">
      <calculatedColumnFormula>CEILING(I3,1)</calculatedColumnFormula>
    </tableColumn>
    <tableColumn id="14" name="Floor avarage" dataDxfId="13" totalsRowFunction="sum">
      <calculatedColumnFormula>FLOOR(I3,1)</calculatedColumnFormula>
    </tableColumn>
  </tableColumns>
  <tableStyleInfo name="TableStylePreset7_Accent1" showFirstColumn="0" showLastColumn="0" showRowStripes="1" showColumnStripes="0"/>
</table>
</file>

<file path=xl/tables/table2.xml><?xml version="1.0" encoding="utf-8"?>
<table xmlns="http://schemas.openxmlformats.org/spreadsheetml/2006/main" id="2" name="Table2" displayName="Table2" ref="A1:G22" totalsRowCount="1">
  <autoFilter xmlns:etc="http://www.wps.cn/officeDocument/2017/etCustomData" ref="A1:G21" etc:filterBottomFollowUsedRange="0"/>
  <tableColumns count="7">
    <tableColumn id="1" name="Sales ID" dataDxfId="14" totalsRowLabel="Total"/>
    <tableColumn id="2" name="Product" dataDxfId="15"/>
    <tableColumn id="3" name="Region" dataDxfId="16"/>
    <tableColumn id="4" name="Salesperson" dataDxfId="17"/>
    <tableColumn id="5" name="Amount" dataDxfId="18"/>
    <tableColumn id="6" name="Date" dataDxfId="19"/>
    <tableColumn id="7" name="Bonus" dataDxfId="20" totalsRowFunction="count">
      <calculatedColumnFormula>IF(E2&gt;30000,50%,IF(E2&gt;20000,25%,IF(E2&gt;10000,10%,"No Bonos")))</calculatedColumnFormula>
    </tableColumn>
  </tableColumns>
  <tableStyleInfo name="TableStylePreset4_Accent1" showFirstColumn="0" showLastColumn="0" showRowStripes="1" showColumnStripes="0"/>
</table>
</file>

<file path=xl/tables/table3.xml><?xml version="1.0" encoding="utf-8"?>
<table xmlns="http://schemas.openxmlformats.org/spreadsheetml/2006/main" id="3" name="Table3" displayName="Table3" ref="I11:J16" totalsRowCount="1">
  <autoFilter xmlns:etc="http://www.wps.cn/officeDocument/2017/etCustomData" ref="I11:J15" etc:filterBottomFollowUsedRange="0"/>
  <tableColumns count="2">
    <tableColumn id="1" name="Criteria" dataDxfId="21" totalsRowLabel="Total"/>
    <tableColumn id="2" name="Bonus Rate" dataDxfId="22" totalsRowFunction="count"/>
  </tableColumns>
  <tableStyleInfo name="TableStylePreset6_Accent1" showFirstColumn="0" showLastColumn="0" showRowStripes="1" showColumnStripes="0"/>
</table>
</file>

<file path=xl/tables/table4.xml><?xml version="1.0" encoding="utf-8"?>
<table xmlns="http://schemas.openxmlformats.org/spreadsheetml/2006/main" id="4" name="Table4" displayName="Table4" ref="A1:H22" totalsRowCount="1">
  <autoFilter xmlns:etc="http://www.wps.cn/officeDocument/2017/etCustomData" ref="A1:H21" etc:filterBottomFollowUsedRange="0"/>
  <tableColumns count="8">
    <tableColumn id="1" name="Employee ID" dataDxfId="23" totalsRowLabel="Total"/>
    <tableColumn id="2" name="Name" dataDxfId="24"/>
    <tableColumn id="3" name="Department" dataDxfId="25"/>
    <tableColumn id="4" name="Salary" dataDxfId="26"/>
    <tableColumn id="5" name="Joining Date" dataDxfId="27"/>
    <tableColumn id="6" name="UPPER" dataDxfId="28">
      <calculatedColumnFormula>UPPER(B2)</calculatedColumnFormula>
    </tableColumn>
    <tableColumn id="7" name="LOWER" dataDxfId="29">
      <calculatedColumnFormula>LOWER(B2)</calculatedColumnFormula>
    </tableColumn>
    <tableColumn id="8" name="Join in Years" dataDxfId="30" totalsRowFunction="sum">
      <calculatedColumnFormula>DATEDIF(E2,TODAY(),"Y")</calculatedColumnFormula>
    </tableColumn>
  </tableColumns>
  <tableStyleInfo name="TableStylePreset7_Accen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4.4285714285714" defaultRowHeight="15" customHeight="1"/>
  <cols>
    <col min="1" max="1" width="75.4285714285714" customWidth="1"/>
    <col min="2" max="6" width="14.4285714285714" customWidth="1"/>
  </cols>
  <sheetData>
    <row r="1" spans="1:26">
      <c r="A1" s="47" t="s">
        <v>0</v>
      </c>
      <c r="B1" s="48"/>
      <c r="C1" s="48"/>
      <c r="D1" s="48"/>
      <c r="E1" s="48"/>
      <c r="F1" s="48"/>
      <c r="G1" s="48"/>
      <c r="H1" s="48"/>
      <c r="I1" s="48"/>
      <c r="J1" s="48"/>
      <c r="K1" s="48"/>
      <c r="L1" s="48"/>
      <c r="M1" s="48"/>
      <c r="N1" s="48"/>
      <c r="O1" s="48"/>
      <c r="P1" s="48"/>
      <c r="Q1" s="48"/>
      <c r="R1" s="48"/>
      <c r="S1" s="48"/>
      <c r="T1" s="48"/>
      <c r="U1" s="48"/>
      <c r="V1" s="48"/>
      <c r="W1" s="48"/>
      <c r="X1" s="48"/>
      <c r="Y1" s="48"/>
      <c r="Z1" s="48"/>
    </row>
    <row r="2" spans="1:26">
      <c r="A2" s="49" t="s">
        <v>1</v>
      </c>
      <c r="B2" s="48"/>
      <c r="C2" s="48"/>
      <c r="D2" s="48"/>
      <c r="E2" s="48"/>
      <c r="F2" s="48"/>
      <c r="G2" s="48"/>
      <c r="H2" s="48"/>
      <c r="I2" s="48"/>
      <c r="J2" s="48"/>
      <c r="K2" s="48"/>
      <c r="L2" s="48"/>
      <c r="M2" s="48"/>
      <c r="N2" s="48"/>
      <c r="O2" s="48"/>
      <c r="P2" s="48"/>
      <c r="Q2" s="48"/>
      <c r="R2" s="48"/>
      <c r="S2" s="48"/>
      <c r="T2" s="48"/>
      <c r="U2" s="48"/>
      <c r="V2" s="48"/>
      <c r="W2" s="48"/>
      <c r="X2" s="48"/>
      <c r="Y2" s="48"/>
      <c r="Z2" s="48"/>
    </row>
    <row r="3" spans="1:26">
      <c r="A3" s="48"/>
      <c r="B3" s="48"/>
      <c r="C3" s="48"/>
      <c r="D3" s="48"/>
      <c r="E3" s="48"/>
      <c r="F3" s="48"/>
      <c r="G3" s="48"/>
      <c r="H3" s="48"/>
      <c r="I3" s="48"/>
      <c r="J3" s="48"/>
      <c r="K3" s="48"/>
      <c r="L3" s="48"/>
      <c r="M3" s="48"/>
      <c r="N3" s="48"/>
      <c r="O3" s="48"/>
      <c r="P3" s="48"/>
      <c r="Q3" s="48"/>
      <c r="R3" s="48"/>
      <c r="S3" s="48"/>
      <c r="T3" s="48"/>
      <c r="U3" s="48"/>
      <c r="V3" s="48"/>
      <c r="W3" s="48"/>
      <c r="X3" s="48"/>
      <c r="Y3" s="48"/>
      <c r="Z3" s="48"/>
    </row>
    <row r="4" spans="1:26">
      <c r="A4" s="48"/>
      <c r="B4" s="48"/>
      <c r="C4" s="48"/>
      <c r="D4" s="48"/>
      <c r="E4" s="48"/>
      <c r="F4" s="48"/>
      <c r="G4" s="48"/>
      <c r="H4" s="48"/>
      <c r="I4" s="48"/>
      <c r="J4" s="48"/>
      <c r="K4" s="48"/>
      <c r="L4" s="48"/>
      <c r="M4" s="48"/>
      <c r="N4" s="48"/>
      <c r="O4" s="48"/>
      <c r="P4" s="48"/>
      <c r="Q4" s="48"/>
      <c r="R4" s="48"/>
      <c r="S4" s="48"/>
      <c r="T4" s="48"/>
      <c r="U4" s="48"/>
      <c r="V4" s="48"/>
      <c r="W4" s="48"/>
      <c r="X4" s="48"/>
      <c r="Y4" s="48"/>
      <c r="Z4" s="48"/>
    </row>
    <row r="5" spans="1:26">
      <c r="A5" s="47" t="s">
        <v>2</v>
      </c>
      <c r="B5" s="48"/>
      <c r="C5" s="48"/>
      <c r="D5" s="48"/>
      <c r="E5" s="48"/>
      <c r="F5" s="48"/>
      <c r="G5" s="48"/>
      <c r="H5" s="48"/>
      <c r="I5" s="48"/>
      <c r="J5" s="48"/>
      <c r="K5" s="48"/>
      <c r="L5" s="48"/>
      <c r="M5" s="48"/>
      <c r="N5" s="48"/>
      <c r="O5" s="48"/>
      <c r="P5" s="48"/>
      <c r="Q5" s="48"/>
      <c r="R5" s="48"/>
      <c r="S5" s="48"/>
      <c r="T5" s="48"/>
      <c r="U5" s="48"/>
      <c r="V5" s="48"/>
      <c r="W5" s="48"/>
      <c r="X5" s="48"/>
      <c r="Y5" s="48"/>
      <c r="Z5" s="48"/>
    </row>
    <row r="6" spans="1:26">
      <c r="A6" s="50" t="s">
        <v>3</v>
      </c>
      <c r="B6" s="48"/>
      <c r="C6" s="48"/>
      <c r="D6" s="48"/>
      <c r="E6" s="48"/>
      <c r="F6" s="48"/>
      <c r="G6" s="48"/>
      <c r="H6" s="48"/>
      <c r="I6" s="48"/>
      <c r="J6" s="48"/>
      <c r="K6" s="48"/>
      <c r="L6" s="48"/>
      <c r="M6" s="48"/>
      <c r="N6" s="48"/>
      <c r="O6" s="48"/>
      <c r="P6" s="48"/>
      <c r="Q6" s="48"/>
      <c r="R6" s="48"/>
      <c r="S6" s="48"/>
      <c r="T6" s="48"/>
      <c r="U6" s="48"/>
      <c r="V6" s="48"/>
      <c r="W6" s="48"/>
      <c r="X6" s="48"/>
      <c r="Y6" s="48"/>
      <c r="Z6" s="48"/>
    </row>
    <row r="7" spans="1:26">
      <c r="A7" s="51" t="s">
        <v>4</v>
      </c>
      <c r="B7" s="48"/>
      <c r="C7" s="48"/>
      <c r="D7" s="48"/>
      <c r="E7" s="48"/>
      <c r="F7" s="48"/>
      <c r="G7" s="48"/>
      <c r="H7" s="48"/>
      <c r="I7" s="48"/>
      <c r="J7" s="48"/>
      <c r="K7" s="48"/>
      <c r="L7" s="48"/>
      <c r="M7" s="48"/>
      <c r="N7" s="48"/>
      <c r="O7" s="48"/>
      <c r="P7" s="48"/>
      <c r="Q7" s="48"/>
      <c r="R7" s="48"/>
      <c r="S7" s="48"/>
      <c r="T7" s="48"/>
      <c r="U7" s="48"/>
      <c r="V7" s="48"/>
      <c r="W7" s="48"/>
      <c r="X7" s="48"/>
      <c r="Y7" s="48"/>
      <c r="Z7" s="48"/>
    </row>
    <row r="8" spans="1:26">
      <c r="A8" s="51" t="s">
        <v>5</v>
      </c>
      <c r="B8" s="48"/>
      <c r="C8" s="48"/>
      <c r="D8" s="48"/>
      <c r="E8" s="48"/>
      <c r="F8" s="48"/>
      <c r="G8" s="48"/>
      <c r="H8" s="48"/>
      <c r="I8" s="48"/>
      <c r="J8" s="48"/>
      <c r="K8" s="48"/>
      <c r="L8" s="48"/>
      <c r="M8" s="48"/>
      <c r="N8" s="48"/>
      <c r="O8" s="48"/>
      <c r="P8" s="48"/>
      <c r="Q8" s="48"/>
      <c r="R8" s="48"/>
      <c r="S8" s="48"/>
      <c r="T8" s="48"/>
      <c r="U8" s="48"/>
      <c r="V8" s="48"/>
      <c r="W8" s="48"/>
      <c r="X8" s="48"/>
      <c r="Y8" s="48"/>
      <c r="Z8" s="48"/>
    </row>
    <row r="9" spans="1:26">
      <c r="A9" s="51"/>
      <c r="B9" s="48"/>
      <c r="C9" s="48"/>
      <c r="D9" s="48"/>
      <c r="E9" s="48"/>
      <c r="F9" s="48"/>
      <c r="G9" s="48"/>
      <c r="H9" s="48"/>
      <c r="I9" s="48"/>
      <c r="J9" s="48"/>
      <c r="K9" s="48"/>
      <c r="L9" s="48"/>
      <c r="M9" s="48"/>
      <c r="N9" s="48"/>
      <c r="O9" s="48"/>
      <c r="P9" s="48"/>
      <c r="Q9" s="48"/>
      <c r="R9" s="48"/>
      <c r="S9" s="48"/>
      <c r="T9" s="48"/>
      <c r="U9" s="48"/>
      <c r="V9" s="48"/>
      <c r="W9" s="48"/>
      <c r="X9" s="48"/>
      <c r="Y9" s="48"/>
      <c r="Z9" s="48"/>
    </row>
    <row r="10" spans="1:26">
      <c r="A10" s="50" t="s">
        <v>6</v>
      </c>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spans="1:26">
      <c r="A11" s="51" t="s">
        <v>7</v>
      </c>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spans="1:26">
      <c r="A12" s="51" t="s">
        <v>8</v>
      </c>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spans="1:26">
      <c r="A13" s="51"/>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spans="1:26">
      <c r="A14" s="50" t="s">
        <v>9</v>
      </c>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c r="A15" s="51" t="s">
        <v>10</v>
      </c>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spans="1:26">
      <c r="A16" s="51" t="s">
        <v>11</v>
      </c>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spans="1:26">
      <c r="A17" s="51"/>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c r="A18" s="50" t="s">
        <v>12</v>
      </c>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spans="1:26">
      <c r="A19" s="51" t="s">
        <v>13</v>
      </c>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spans="1:26">
      <c r="A20" s="51" t="s">
        <v>14</v>
      </c>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ht="15.75" customHeight="1" spans="1:26">
      <c r="A21" s="51" t="s">
        <v>15</v>
      </c>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ht="15.75" customHeight="1" spans="1:26">
      <c r="A22" s="51"/>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ht="15.75" customHeight="1" spans="1:26">
      <c r="A23" s="50" t="s">
        <v>16</v>
      </c>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ht="15.75" customHeight="1" spans="1:26">
      <c r="A24" s="51" t="s">
        <v>17</v>
      </c>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15.75" customHeight="1" spans="1:26">
      <c r="A25" s="51" t="s">
        <v>18</v>
      </c>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15.75" customHeight="1" spans="1:26">
      <c r="A26" s="51"/>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ht="15.75" customHeight="1" spans="1:26">
      <c r="A27" s="50" t="s">
        <v>19</v>
      </c>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ht="15.75" customHeight="1" spans="1:26">
      <c r="A28" s="51" t="s">
        <v>20</v>
      </c>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5.75" customHeight="1" spans="1:26">
      <c r="A29" s="51" t="s">
        <v>21</v>
      </c>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5.75" customHeight="1" spans="1:26">
      <c r="A30" s="51"/>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5.75" customHeight="1" spans="1:26">
      <c r="A31" s="50" t="s">
        <v>22</v>
      </c>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ht="15.75" customHeight="1" spans="1:26">
      <c r="A32" s="51" t="s">
        <v>23</v>
      </c>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5.75" customHeight="1" spans="1:26">
      <c r="A33" s="51" t="s">
        <v>24</v>
      </c>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5.75" customHeight="1" spans="1:26">
      <c r="A34" s="51"/>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5.75" customHeight="1" spans="1:26">
      <c r="A35" s="50" t="s">
        <v>25</v>
      </c>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5.75" customHeight="1" spans="1:26">
      <c r="A36" s="51" t="s">
        <v>26</v>
      </c>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5.75" customHeight="1" spans="1:26">
      <c r="A37" s="51" t="s">
        <v>27</v>
      </c>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5.75" customHeight="1" spans="1:26">
      <c r="A38" s="51"/>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spans="1:26">
      <c r="A39" s="50" t="s">
        <v>28</v>
      </c>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spans="1:26">
      <c r="A40" s="51" t="s">
        <v>29</v>
      </c>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spans="1:26">
      <c r="A41" s="51"/>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spans="1:26">
      <c r="A42" s="50" t="s">
        <v>30</v>
      </c>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spans="1:26">
      <c r="A43" s="51" t="s">
        <v>31</v>
      </c>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spans="1:26">
      <c r="A44" s="51"/>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spans="1:26">
      <c r="A45" s="50" t="s">
        <v>32</v>
      </c>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spans="1:26">
      <c r="A46" s="51" t="s">
        <v>33</v>
      </c>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spans="1:26">
      <c r="A47" s="51"/>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spans="1:26">
      <c r="A48" s="50" t="s">
        <v>34</v>
      </c>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spans="1:26">
      <c r="A49" s="51" t="s">
        <v>35</v>
      </c>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spans="1:26">
      <c r="A50" s="51" t="s">
        <v>36</v>
      </c>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spans="1:26">
      <c r="A51" s="51"/>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spans="1:26">
      <c r="A52" s="50" t="s">
        <v>37</v>
      </c>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spans="1:26">
      <c r="A53" s="51" t="s">
        <v>38</v>
      </c>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spans="1:26">
      <c r="A54" s="51"/>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spans="1:26">
      <c r="A55" s="50" t="s">
        <v>39</v>
      </c>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spans="1:26">
      <c r="A56" s="51" t="s">
        <v>40</v>
      </c>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spans="1:26">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spans="1:26">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spans="1:26">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spans="1:26">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spans="1:26">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spans="1:26">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spans="1:26">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spans="1:26">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spans="1:26">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spans="1:2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spans="1:26">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spans="1:26">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spans="1:26">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spans="1:26">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spans="1:26">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spans="1:26">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spans="1:26">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spans="1:26">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spans="1:26">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spans="1:2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spans="1:26">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spans="1:26">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spans="1:26">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spans="1:26">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spans="1:26">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spans="1:26">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spans="1:26">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spans="1:26">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spans="1:26">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spans="1:2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spans="1:26">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spans="1:26">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spans="1:26">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spans="1:26">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spans="1:26">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spans="1:26">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spans="1:26">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spans="1:26">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spans="1:26">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spans="1:2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spans="1:26">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spans="1:26">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spans="1:26">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spans="1:26">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spans="1:26">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spans="1:26">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spans="1:26">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spans="1:26">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spans="1:26">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spans="1:2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spans="1:26">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spans="1:26">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spans="1:26">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spans="1:26">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spans="1:26">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spans="1:26">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spans="1:26">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spans="1:26">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spans="1:26">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spans="1:2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spans="1:26">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spans="1:26">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spans="1:26">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spans="1:26">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spans="1:26">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spans="1:26">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spans="1:26">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spans="1:26">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spans="1:26">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spans="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spans="1:26">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spans="1:26">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spans="1:26">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spans="1:26">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spans="1:26">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spans="1:26">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spans="1:26">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spans="1:26">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spans="1:26">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spans="1:2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spans="1:26">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spans="1:26">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spans="1:26">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spans="1:26">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spans="1:26">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spans="1:26">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spans="1:26">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spans="1:26">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spans="1:26">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spans="1:2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spans="1:26">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spans="1:26">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spans="1:26">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spans="1:26">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spans="1:26">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spans="1:26">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spans="1:26">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spans="1:26">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spans="1:26">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spans="1:2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spans="1:26">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spans="1:26">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spans="1:26">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spans="1:26">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spans="1:26">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spans="1:26">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spans="1:26">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spans="1:26">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spans="1:26">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spans="1:2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spans="1:26">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spans="1:26">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spans="1:26">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spans="1:26">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spans="1:26">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spans="1:26">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spans="1:26">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spans="1:26">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spans="1:26">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spans="1:2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spans="1:26">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spans="1:26">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spans="1:26">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spans="1:26">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spans="1:26">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spans="1:26">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spans="1:26">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spans="1:26">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spans="1:26">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spans="1:2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spans="1:26">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spans="1:26">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spans="1:26">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spans="1:26">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spans="1:26">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spans="1:26">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spans="1:26">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spans="1:26">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spans="1:26">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spans="1:2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spans="1:26">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spans="1:26">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spans="1:26">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spans="1:26">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spans="1:26">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spans="1:26">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spans="1:26">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spans="1:26">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spans="1:26">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spans="1:2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spans="1:26">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spans="1:26">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spans="1:26">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spans="1:26">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spans="1:26">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spans="1:26">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spans="1:26">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spans="1:26">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spans="1:26">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spans="1:2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spans="1:26">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spans="1:26">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spans="1:26">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spans="1:26">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spans="1:26">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spans="1:26">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spans="1:26">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spans="1:26">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spans="1:26">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spans="1: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spans="1:26">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spans="1:26">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spans="1:26">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spans="1:26">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spans="1:26">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spans="1:26">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spans="1:26">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spans="1:26">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spans="1:26">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spans="1:2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spans="1:26">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spans="1:26">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spans="1:26">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spans="1:26">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spans="1:26">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spans="1:26">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spans="1:26">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spans="1:26">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spans="1:26">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spans="1:2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spans="1:26">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spans="1:26">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spans="1:26">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spans="1:26">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spans="1:26">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spans="1:26">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spans="1:26">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spans="1:26">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spans="1:26">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spans="1:2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002"/>
  <sheetViews>
    <sheetView workbookViewId="0">
      <selection activeCell="G26" sqref="G26"/>
    </sheetView>
  </sheetViews>
  <sheetFormatPr defaultColWidth="14.4285714285714" defaultRowHeight="15" customHeight="1"/>
  <cols>
    <col min="1" max="1" width="58" customWidth="1"/>
    <col min="2" max="2" width="10.4285714285714" customWidth="1"/>
    <col min="3" max="3" width="11.2857142857143" customWidth="1"/>
    <col min="4" max="4" width="7.57142857142857" customWidth="1"/>
    <col min="5" max="5" width="7.28571428571429" customWidth="1"/>
    <col min="6" max="6" width="19.4285714285714" customWidth="1"/>
    <col min="7" max="7" width="15.7142857142857" customWidth="1"/>
    <col min="8" max="8" width="18.8571428571429" customWidth="1"/>
    <col min="9" max="10" width="8.71428571428571" customWidth="1"/>
    <col min="11" max="11" width="26" customWidth="1"/>
    <col min="12" max="12" width="19.4285714285714" customWidth="1"/>
    <col min="13" max="13" width="18.5714285714286" customWidth="1"/>
    <col min="14" max="14" width="21.2857142857143" customWidth="1"/>
    <col min="15" max="28" width="8.71428571428571" customWidth="1"/>
  </cols>
  <sheetData>
    <row r="1" spans="15:28">
      <c r="O1" s="9"/>
      <c r="P1" s="44"/>
      <c r="Q1" s="9"/>
      <c r="R1" s="9"/>
      <c r="S1" s="9"/>
      <c r="T1" s="9"/>
      <c r="U1" s="9"/>
      <c r="V1" s="9"/>
      <c r="W1" s="9"/>
      <c r="X1" s="9"/>
      <c r="Y1" s="9"/>
      <c r="Z1" s="9"/>
      <c r="AA1" s="9"/>
      <c r="AB1" s="9"/>
    </row>
    <row r="2" spans="1:28">
      <c r="A2" t="s">
        <v>41</v>
      </c>
      <c r="B2" t="s">
        <v>42</v>
      </c>
      <c r="C2" t="s">
        <v>43</v>
      </c>
      <c r="D2" t="s">
        <v>44</v>
      </c>
      <c r="E2" t="s">
        <v>45</v>
      </c>
      <c r="F2" t="s">
        <v>46</v>
      </c>
      <c r="G2" t="s">
        <v>47</v>
      </c>
      <c r="H2" s="35" t="s">
        <v>48</v>
      </c>
      <c r="I2" t="s">
        <v>49</v>
      </c>
      <c r="J2" t="s">
        <v>50</v>
      </c>
      <c r="K2" t="s">
        <v>51</v>
      </c>
      <c r="L2" t="s">
        <v>52</v>
      </c>
      <c r="M2" t="s">
        <v>53</v>
      </c>
      <c r="N2" t="s">
        <v>54</v>
      </c>
      <c r="O2" s="9"/>
      <c r="P2" s="9"/>
      <c r="Q2" s="9"/>
      <c r="R2" s="9"/>
      <c r="S2" s="9"/>
      <c r="T2" s="9"/>
      <c r="U2" s="9"/>
      <c r="V2" s="9"/>
      <c r="W2" s="9"/>
      <c r="X2" s="9"/>
      <c r="Y2" s="9"/>
      <c r="Z2" s="9"/>
      <c r="AA2" s="9"/>
      <c r="AB2" s="9"/>
    </row>
    <row r="3" spans="1:28">
      <c r="A3" s="6">
        <v>1001</v>
      </c>
      <c r="B3" s="6" t="s">
        <v>55</v>
      </c>
      <c r="C3" s="6">
        <v>61</v>
      </c>
      <c r="D3" s="6">
        <v>48</v>
      </c>
      <c r="E3" s="6">
        <v>76</v>
      </c>
      <c r="F3" s="8">
        <v>43101</v>
      </c>
      <c r="G3" s="36">
        <f t="shared" ref="G3:G22" si="0">SUM(C3:E3)</f>
        <v>185</v>
      </c>
      <c r="H3" s="37">
        <f>G3/$G$27*100</f>
        <v>61.6666666666667</v>
      </c>
      <c r="I3" s="37">
        <f t="shared" ref="I3:I22" si="1">AVERAGE(C3:E3)</f>
        <v>61.6666666666667</v>
      </c>
      <c r="J3" s="9" t="str">
        <f t="array" ref="J3">IF(I3&gt;80,"A",IF(I3&gt;70,"B",IF(I3&gt;60,"C",IF(I3&gt;50,"D",IF(I3&gt;40,"E",FAIL)))))</f>
        <v>C</v>
      </c>
      <c r="K3" s="9" t="str">
        <f t="shared" ref="K3:K22" si="2">IF(AND(C3,D3&gt;80),"YES","NO")</f>
        <v>NO</v>
      </c>
      <c r="L3" s="37">
        <f t="shared" ref="L3:L22" si="3">ROUND(I3,1)</f>
        <v>61.7</v>
      </c>
      <c r="M3" s="9">
        <f t="shared" ref="M3:M22" si="4">CEILING(I3,1)</f>
        <v>62</v>
      </c>
      <c r="N3" s="9">
        <f t="shared" ref="N3:N22" si="5">FLOOR(I3,1)</f>
        <v>61</v>
      </c>
      <c r="O3" s="9"/>
      <c r="R3" s="9"/>
      <c r="S3" s="9"/>
      <c r="T3" s="9"/>
      <c r="U3" s="9"/>
      <c r="V3" s="9"/>
      <c r="W3" s="9"/>
      <c r="X3" s="9"/>
      <c r="Y3" s="9"/>
      <c r="Z3" s="9"/>
      <c r="AA3" s="9"/>
      <c r="AB3" s="9"/>
    </row>
    <row r="4" spans="1:28">
      <c r="A4" s="6">
        <v>1002</v>
      </c>
      <c r="B4" s="6" t="s">
        <v>56</v>
      </c>
      <c r="C4" s="6">
        <v>78</v>
      </c>
      <c r="D4" s="6">
        <v>76</v>
      </c>
      <c r="E4" s="6">
        <v>70</v>
      </c>
      <c r="F4" s="8">
        <v>43281</v>
      </c>
      <c r="G4" s="36">
        <f t="shared" si="0"/>
        <v>224</v>
      </c>
      <c r="H4" s="37" t="e">
        <f>G4/$P$2*100</f>
        <v>#DIV/0!</v>
      </c>
      <c r="I4" s="37">
        <f t="shared" si="1"/>
        <v>74.6666666666667</v>
      </c>
      <c r="J4" s="9" t="str">
        <f t="array" ref="J4">IF(I4&gt;80,"A",IF(I4&gt;70,"B",IF(I4&gt;60,"C",IF(I4&gt;50,"D",IF(I4&gt;40,"E",FAIL)))))</f>
        <v>B</v>
      </c>
      <c r="K4" s="9" t="str">
        <f t="shared" si="2"/>
        <v>NO</v>
      </c>
      <c r="L4" s="37">
        <f t="shared" si="3"/>
        <v>74.7</v>
      </c>
      <c r="M4" s="9">
        <f t="shared" si="4"/>
        <v>75</v>
      </c>
      <c r="N4" s="9">
        <f t="shared" si="5"/>
        <v>74</v>
      </c>
      <c r="O4" s="9"/>
      <c r="P4" s="9"/>
      <c r="Q4" s="9"/>
      <c r="R4" s="9"/>
      <c r="S4" s="9"/>
      <c r="T4" s="9"/>
      <c r="U4" s="9"/>
      <c r="V4" s="9"/>
      <c r="W4" s="9"/>
      <c r="X4" s="9"/>
      <c r="Y4" s="9"/>
      <c r="Z4" s="9"/>
      <c r="AA4" s="9"/>
      <c r="AB4" s="9"/>
    </row>
    <row r="5" spans="1:28">
      <c r="A5" s="6">
        <v>1003</v>
      </c>
      <c r="B5" s="6" t="s">
        <v>57</v>
      </c>
      <c r="C5" s="6">
        <v>97</v>
      </c>
      <c r="D5" s="6">
        <v>60</v>
      </c>
      <c r="E5" s="6">
        <v>51</v>
      </c>
      <c r="F5" s="8">
        <v>43461</v>
      </c>
      <c r="G5" s="36">
        <f t="shared" si="0"/>
        <v>208</v>
      </c>
      <c r="H5" s="37" t="e">
        <f>G5/$P$2*100</f>
        <v>#DIV/0!</v>
      </c>
      <c r="I5" s="37">
        <f t="shared" si="1"/>
        <v>69.3333333333333</v>
      </c>
      <c r="J5" s="9" t="str">
        <f t="array" ref="J5">IF(I5&gt;80,"A",IF(I5&gt;70,"B",IF(I5&gt;60,"C",IF(I5&gt;50,"D",IF(I5&gt;40,"E",FAIL)))))</f>
        <v>C</v>
      </c>
      <c r="K5" s="9" t="str">
        <f t="shared" si="2"/>
        <v>NO</v>
      </c>
      <c r="L5" s="37">
        <f t="shared" si="3"/>
        <v>69.3</v>
      </c>
      <c r="M5" s="9">
        <f t="shared" si="4"/>
        <v>70</v>
      </c>
      <c r="N5" s="9">
        <f t="shared" si="5"/>
        <v>69</v>
      </c>
      <c r="O5" s="9"/>
      <c r="P5" s="9"/>
      <c r="Q5" s="9"/>
      <c r="R5" s="9"/>
      <c r="S5" s="9"/>
      <c r="T5" s="9"/>
      <c r="U5" s="9"/>
      <c r="V5" s="9"/>
      <c r="W5" s="9"/>
      <c r="X5" s="9"/>
      <c r="Y5" s="9"/>
      <c r="Z5" s="9"/>
      <c r="AA5" s="9"/>
      <c r="AB5" s="9"/>
    </row>
    <row r="6" spans="1:28">
      <c r="A6" s="6">
        <v>1004</v>
      </c>
      <c r="B6" s="6" t="s">
        <v>58</v>
      </c>
      <c r="C6" s="6">
        <v>74</v>
      </c>
      <c r="D6" s="6">
        <v>55</v>
      </c>
      <c r="E6" s="6">
        <v>46</v>
      </c>
      <c r="F6" s="8">
        <v>43641</v>
      </c>
      <c r="G6" s="36">
        <f t="shared" si="0"/>
        <v>175</v>
      </c>
      <c r="H6" s="37" t="e">
        <f>G6/$P$2*100</f>
        <v>#DIV/0!</v>
      </c>
      <c r="I6" s="37">
        <f t="shared" si="1"/>
        <v>58.3333333333333</v>
      </c>
      <c r="J6" s="9" t="str">
        <f t="array" ref="J6">IF(I6&gt;80,"A",IF(I6&gt;70,"B",IF(I6&gt;60,"C",IF(I6&gt;50,"D",IF(I6&gt;40,"E",FAIL)))))</f>
        <v>D</v>
      </c>
      <c r="K6" s="9" t="str">
        <f t="shared" si="2"/>
        <v>NO</v>
      </c>
      <c r="L6" s="37">
        <f t="shared" si="3"/>
        <v>58.3</v>
      </c>
      <c r="M6" s="9">
        <f t="shared" si="4"/>
        <v>59</v>
      </c>
      <c r="N6" s="9">
        <f t="shared" si="5"/>
        <v>58</v>
      </c>
      <c r="O6" s="9"/>
      <c r="P6" s="9"/>
      <c r="Q6" s="9"/>
      <c r="R6" s="9"/>
      <c r="S6" s="9"/>
      <c r="T6" s="9"/>
      <c r="U6" s="9"/>
      <c r="V6" s="9"/>
      <c r="W6" s="9"/>
      <c r="X6" s="9"/>
      <c r="Y6" s="9"/>
      <c r="Z6" s="9"/>
      <c r="AA6" s="9"/>
      <c r="AB6" s="9"/>
    </row>
    <row r="7" spans="1:28">
      <c r="A7" s="6">
        <v>1005</v>
      </c>
      <c r="B7" s="6" t="s">
        <v>59</v>
      </c>
      <c r="C7" s="6">
        <v>68</v>
      </c>
      <c r="D7" s="6">
        <v>74</v>
      </c>
      <c r="E7" s="6">
        <v>84</v>
      </c>
      <c r="F7" s="8">
        <v>43821</v>
      </c>
      <c r="G7" s="36">
        <f t="shared" si="0"/>
        <v>226</v>
      </c>
      <c r="H7" s="37" t="e">
        <f>G7/$P$2*100</f>
        <v>#DIV/0!</v>
      </c>
      <c r="I7" s="37">
        <f t="shared" si="1"/>
        <v>75.3333333333333</v>
      </c>
      <c r="J7" s="9" t="str">
        <f t="array" ref="J7">IF(I7&gt;80,"A",IF(I7&gt;70,"B",IF(I7&gt;60,"C",IF(I7&gt;50,"D",IF(I7&gt;40,"E",FAIL)))))</f>
        <v>B</v>
      </c>
      <c r="K7" s="9" t="str">
        <f t="shared" si="2"/>
        <v>NO</v>
      </c>
      <c r="L7" s="37">
        <f t="shared" si="3"/>
        <v>75.3</v>
      </c>
      <c r="M7" s="9">
        <f t="shared" si="4"/>
        <v>76</v>
      </c>
      <c r="N7" s="9">
        <f t="shared" si="5"/>
        <v>75</v>
      </c>
      <c r="O7" s="9"/>
      <c r="P7" s="9"/>
      <c r="Q7" s="9"/>
      <c r="R7" s="9"/>
      <c r="S7" s="9"/>
      <c r="T7" s="9"/>
      <c r="U7" s="9"/>
      <c r="V7" s="9"/>
      <c r="W7" s="9"/>
      <c r="X7" s="9"/>
      <c r="Y7" s="9"/>
      <c r="Z7" s="9"/>
      <c r="AA7" s="9"/>
      <c r="AB7" s="9"/>
    </row>
    <row r="8" spans="1:28">
      <c r="A8" s="6">
        <v>1006</v>
      </c>
      <c r="B8" s="6" t="s">
        <v>60</v>
      </c>
      <c r="C8" s="6">
        <v>80</v>
      </c>
      <c r="D8" s="6">
        <v>70</v>
      </c>
      <c r="E8" s="6">
        <v>65</v>
      </c>
      <c r="F8" s="8">
        <v>44001</v>
      </c>
      <c r="G8" s="36">
        <f t="shared" si="0"/>
        <v>215</v>
      </c>
      <c r="H8" s="37" t="e">
        <f>G8/$P$2*100</f>
        <v>#DIV/0!</v>
      </c>
      <c r="I8" s="37">
        <f t="shared" si="1"/>
        <v>71.6666666666667</v>
      </c>
      <c r="J8" s="9" t="str">
        <f t="array" ref="J8">IF(I8&gt;80,"A",IF(I8&gt;70,"B",IF(I8&gt;60,"C",IF(I8&gt;50,"D",IF(I8&gt;40,"E",FAIL)))))</f>
        <v>B</v>
      </c>
      <c r="K8" s="9" t="str">
        <f t="shared" si="2"/>
        <v>NO</v>
      </c>
      <c r="L8" s="37">
        <f t="shared" si="3"/>
        <v>71.7</v>
      </c>
      <c r="M8" s="9">
        <f t="shared" si="4"/>
        <v>72</v>
      </c>
      <c r="N8" s="9">
        <f t="shared" si="5"/>
        <v>71</v>
      </c>
      <c r="O8" s="9"/>
      <c r="P8" s="9"/>
      <c r="Q8" s="9"/>
      <c r="R8" s="9"/>
      <c r="S8" s="9"/>
      <c r="T8" s="9"/>
      <c r="U8" s="9"/>
      <c r="V8" s="9"/>
      <c r="W8" s="9"/>
      <c r="X8" s="9"/>
      <c r="Y8" s="9"/>
      <c r="Z8" s="9"/>
      <c r="AA8" s="9"/>
      <c r="AB8" s="9"/>
    </row>
    <row r="9" spans="1:28">
      <c r="A9" s="6">
        <v>1007</v>
      </c>
      <c r="B9" s="6" t="s">
        <v>61</v>
      </c>
      <c r="C9" s="6">
        <v>75</v>
      </c>
      <c r="D9" s="6">
        <v>47</v>
      </c>
      <c r="E9" s="6">
        <v>78</v>
      </c>
      <c r="F9" s="8">
        <v>44181</v>
      </c>
      <c r="G9" s="36">
        <f t="shared" si="0"/>
        <v>200</v>
      </c>
      <c r="H9" s="37" t="e">
        <f>G9/$P$2*100</f>
        <v>#DIV/0!</v>
      </c>
      <c r="I9" s="37">
        <f t="shared" si="1"/>
        <v>66.6666666666667</v>
      </c>
      <c r="J9" s="9" t="str">
        <f t="array" ref="J9">IF(I9&gt;80,"A",IF(I9&gt;70,"B",IF(I9&gt;60,"C",IF(I9&gt;50,"D",IF(I9&gt;40,"E",FAIL)))))</f>
        <v>C</v>
      </c>
      <c r="K9" s="9" t="str">
        <f t="shared" si="2"/>
        <v>NO</v>
      </c>
      <c r="L9" s="37">
        <f t="shared" si="3"/>
        <v>66.7</v>
      </c>
      <c r="M9" s="9">
        <f t="shared" si="4"/>
        <v>67</v>
      </c>
      <c r="N9" s="9">
        <f t="shared" si="5"/>
        <v>66</v>
      </c>
      <c r="O9" s="9"/>
      <c r="P9" s="9"/>
      <c r="Q9" s="9"/>
      <c r="R9" s="9"/>
      <c r="S9" s="9"/>
      <c r="T9" s="9"/>
      <c r="U9" s="9"/>
      <c r="V9" s="9"/>
      <c r="W9" s="9"/>
      <c r="X9" s="9"/>
      <c r="Y9" s="9"/>
      <c r="Z9" s="9"/>
      <c r="AA9" s="9"/>
      <c r="AB9" s="9"/>
    </row>
    <row r="10" spans="1:28">
      <c r="A10" s="6">
        <v>1008</v>
      </c>
      <c r="B10" s="6" t="s">
        <v>62</v>
      </c>
      <c r="C10" s="6">
        <v>94</v>
      </c>
      <c r="D10" s="6">
        <v>67</v>
      </c>
      <c r="E10" s="6">
        <v>64</v>
      </c>
      <c r="F10" s="8">
        <v>44361</v>
      </c>
      <c r="G10" s="36">
        <f t="shared" si="0"/>
        <v>225</v>
      </c>
      <c r="H10" s="37" t="e">
        <f>G10/$P$2*100</f>
        <v>#DIV/0!</v>
      </c>
      <c r="I10" s="37">
        <f t="shared" si="1"/>
        <v>75</v>
      </c>
      <c r="J10" s="9" t="str">
        <f t="array" ref="J10">IF(I10&gt;80,"A",IF(I10&gt;70,"B",IF(I10&gt;60,"C",IF(I10&gt;50,"D",IF(I10&gt;40,"E",FAIL)))))</f>
        <v>B</v>
      </c>
      <c r="K10" s="9" t="str">
        <f t="shared" si="2"/>
        <v>NO</v>
      </c>
      <c r="L10" s="37">
        <f t="shared" si="3"/>
        <v>75</v>
      </c>
      <c r="M10" s="9">
        <f t="shared" si="4"/>
        <v>75</v>
      </c>
      <c r="N10" s="9">
        <f t="shared" si="5"/>
        <v>75</v>
      </c>
      <c r="O10" s="9"/>
      <c r="P10" s="9"/>
      <c r="Q10" s="9"/>
      <c r="R10" s="9"/>
      <c r="S10" s="9"/>
      <c r="T10" s="9"/>
      <c r="U10" s="9"/>
      <c r="V10" s="9"/>
      <c r="W10" s="9"/>
      <c r="X10" s="9"/>
      <c r="Y10" s="9"/>
      <c r="Z10" s="9"/>
      <c r="AA10" s="9"/>
      <c r="AB10" s="9"/>
    </row>
    <row r="11" spans="1:28">
      <c r="A11" s="6">
        <v>1009</v>
      </c>
      <c r="B11" s="6" t="s">
        <v>63</v>
      </c>
      <c r="C11" s="6">
        <v>41</v>
      </c>
      <c r="D11" s="6">
        <v>75</v>
      </c>
      <c r="E11" s="6">
        <v>56</v>
      </c>
      <c r="F11" s="8">
        <v>44541</v>
      </c>
      <c r="G11" s="36">
        <f t="shared" si="0"/>
        <v>172</v>
      </c>
      <c r="H11" s="37" t="e">
        <f>G11/$P$2*100</f>
        <v>#DIV/0!</v>
      </c>
      <c r="I11" s="37">
        <f t="shared" si="1"/>
        <v>57.3333333333333</v>
      </c>
      <c r="J11" s="9" t="str">
        <f t="array" ref="J11">IF(I11&gt;80,"A",IF(I11&gt;70,"B",IF(I11&gt;60,"C",IF(I11&gt;50,"D",IF(I11&gt;40,"E",FAIL)))))</f>
        <v>D</v>
      </c>
      <c r="K11" s="9" t="str">
        <f t="shared" si="2"/>
        <v>NO</v>
      </c>
      <c r="L11" s="37">
        <f t="shared" si="3"/>
        <v>57.3</v>
      </c>
      <c r="M11" s="9">
        <f t="shared" si="4"/>
        <v>58</v>
      </c>
      <c r="N11" s="9">
        <f t="shared" si="5"/>
        <v>57</v>
      </c>
      <c r="O11" s="9"/>
      <c r="P11" s="9"/>
      <c r="Q11" s="9"/>
      <c r="R11" s="9"/>
      <c r="S11" s="9"/>
      <c r="T11" s="9"/>
      <c r="U11" s="9"/>
      <c r="V11" s="9"/>
      <c r="W11" s="9"/>
      <c r="X11" s="9"/>
      <c r="Y11" s="9"/>
      <c r="Z11" s="9"/>
      <c r="AA11" s="9"/>
      <c r="AB11" s="9"/>
    </row>
    <row r="12" spans="1:28">
      <c r="A12" s="6">
        <v>1010</v>
      </c>
      <c r="B12" s="6" t="s">
        <v>64</v>
      </c>
      <c r="C12" s="6">
        <v>98</v>
      </c>
      <c r="D12" s="6">
        <v>54</v>
      </c>
      <c r="E12" s="6">
        <v>58</v>
      </c>
      <c r="F12" s="8">
        <v>44721</v>
      </c>
      <c r="G12" s="36">
        <f t="shared" si="0"/>
        <v>210</v>
      </c>
      <c r="H12" s="37" t="e">
        <f>G12/$P$2*100</f>
        <v>#DIV/0!</v>
      </c>
      <c r="I12" s="37">
        <f t="shared" si="1"/>
        <v>70</v>
      </c>
      <c r="J12" s="9" t="str">
        <f t="array" ref="J12">IF(I12&gt;80,"A",IF(I12&gt;70,"B",IF(I12&gt;60,"C",IF(I12&gt;50,"D",IF(I12&gt;40,"E",FAIL)))))</f>
        <v>C</v>
      </c>
      <c r="K12" s="9" t="str">
        <f t="shared" si="2"/>
        <v>NO</v>
      </c>
      <c r="L12" s="37">
        <f t="shared" si="3"/>
        <v>70</v>
      </c>
      <c r="M12" s="9">
        <f t="shared" si="4"/>
        <v>70</v>
      </c>
      <c r="N12" s="9">
        <f t="shared" si="5"/>
        <v>70</v>
      </c>
      <c r="O12" s="9"/>
      <c r="P12" s="9"/>
      <c r="Q12" s="9"/>
      <c r="R12" s="9"/>
      <c r="S12" s="9"/>
      <c r="T12" s="9"/>
      <c r="U12" s="9"/>
      <c r="V12" s="9"/>
      <c r="W12" s="9"/>
      <c r="X12" s="9"/>
      <c r="Y12" s="9"/>
      <c r="Z12" s="9"/>
      <c r="AA12" s="9"/>
      <c r="AB12" s="9"/>
    </row>
    <row r="13" spans="1:28">
      <c r="A13" s="6">
        <v>1011</v>
      </c>
      <c r="B13" s="6" t="s">
        <v>65</v>
      </c>
      <c r="C13" s="6">
        <v>73</v>
      </c>
      <c r="D13" s="6">
        <v>79</v>
      </c>
      <c r="E13" s="6">
        <v>53</v>
      </c>
      <c r="F13" s="8">
        <v>44901</v>
      </c>
      <c r="G13" s="36">
        <f t="shared" si="0"/>
        <v>205</v>
      </c>
      <c r="H13" s="37" t="e">
        <f>G13/$P$2*100</f>
        <v>#DIV/0!</v>
      </c>
      <c r="I13" s="37">
        <f t="shared" si="1"/>
        <v>68.3333333333333</v>
      </c>
      <c r="J13" s="9" t="str">
        <f t="array" ref="J13">IF(I13&gt;80,"A",IF(I13&gt;70,"B",IF(I13&gt;60,"C",IF(I13&gt;50,"D",IF(I13&gt;40,"E",FAIL)))))</f>
        <v>C</v>
      </c>
      <c r="K13" s="9" t="str">
        <f t="shared" si="2"/>
        <v>NO</v>
      </c>
      <c r="L13" s="37">
        <f t="shared" si="3"/>
        <v>68.3</v>
      </c>
      <c r="M13" s="9">
        <f t="shared" si="4"/>
        <v>69</v>
      </c>
      <c r="N13" s="9">
        <f t="shared" si="5"/>
        <v>68</v>
      </c>
      <c r="O13" s="9"/>
      <c r="P13" s="9"/>
      <c r="Q13" s="9"/>
      <c r="R13" s="9"/>
      <c r="S13" s="9"/>
      <c r="T13" s="9"/>
      <c r="U13" s="9"/>
      <c r="V13" s="9"/>
      <c r="W13" s="9"/>
      <c r="X13" s="9"/>
      <c r="Y13" s="9"/>
      <c r="Z13" s="9"/>
      <c r="AA13" s="9"/>
      <c r="AB13" s="9"/>
    </row>
    <row r="14" spans="1:28">
      <c r="A14" s="6">
        <v>1012</v>
      </c>
      <c r="B14" s="6" t="s">
        <v>66</v>
      </c>
      <c r="C14" s="6">
        <v>85</v>
      </c>
      <c r="D14" s="6">
        <v>89</v>
      </c>
      <c r="E14" s="6">
        <v>79</v>
      </c>
      <c r="F14" s="8">
        <v>45081</v>
      </c>
      <c r="G14" s="36">
        <f t="shared" si="0"/>
        <v>253</v>
      </c>
      <c r="H14" s="37" t="e">
        <f>G14/$P$2*100</f>
        <v>#DIV/0!</v>
      </c>
      <c r="I14" s="37">
        <f t="shared" si="1"/>
        <v>84.3333333333333</v>
      </c>
      <c r="J14" s="9" t="str">
        <f t="array" ref="J14">IF(I14&gt;80,"A",IF(I14&gt;70,"B",IF(I14&gt;60,"C",IF(I14&gt;50,"D",IF(I14&gt;40,"E",FAIL)))))</f>
        <v>A</v>
      </c>
      <c r="K14" s="9" t="str">
        <f t="shared" si="2"/>
        <v>YES</v>
      </c>
      <c r="L14" s="37">
        <f t="shared" si="3"/>
        <v>84.3</v>
      </c>
      <c r="M14" s="9">
        <f t="shared" si="4"/>
        <v>85</v>
      </c>
      <c r="N14" s="9">
        <f t="shared" si="5"/>
        <v>84</v>
      </c>
      <c r="O14" s="9"/>
      <c r="P14" s="9"/>
      <c r="Q14" s="9"/>
      <c r="R14" s="9"/>
      <c r="S14" s="9"/>
      <c r="T14" s="9"/>
      <c r="U14" s="9"/>
      <c r="V14" s="9"/>
      <c r="W14" s="9"/>
      <c r="X14" s="9"/>
      <c r="Y14" s="9"/>
      <c r="Z14" s="9"/>
      <c r="AA14" s="9"/>
      <c r="AB14" s="9"/>
    </row>
    <row r="15" spans="1:28">
      <c r="A15" s="6">
        <v>1013</v>
      </c>
      <c r="B15" s="6" t="s">
        <v>67</v>
      </c>
      <c r="C15" s="6">
        <v>98</v>
      </c>
      <c r="D15" s="6">
        <v>90</v>
      </c>
      <c r="E15" s="6">
        <v>97</v>
      </c>
      <c r="F15" s="8">
        <v>45261</v>
      </c>
      <c r="G15" s="36">
        <f t="shared" si="0"/>
        <v>285</v>
      </c>
      <c r="H15" s="37" t="e">
        <f>G15/$P$2*100</f>
        <v>#DIV/0!</v>
      </c>
      <c r="I15" s="37">
        <f t="shared" si="1"/>
        <v>95</v>
      </c>
      <c r="J15" s="9" t="str">
        <f t="array" ref="J15">IF(I15&gt;80,"A",IF(I15&gt;70,"B",IF(I15&gt;60,"C",IF(I15&gt;50,"D",IF(I15&gt;40,"E",FAIL)))))</f>
        <v>A</v>
      </c>
      <c r="K15" s="9" t="str">
        <f t="shared" si="2"/>
        <v>YES</v>
      </c>
      <c r="L15" s="37">
        <f t="shared" si="3"/>
        <v>95</v>
      </c>
      <c r="M15" s="9">
        <f t="shared" si="4"/>
        <v>95</v>
      </c>
      <c r="N15" s="9">
        <f t="shared" si="5"/>
        <v>95</v>
      </c>
      <c r="O15" s="9"/>
      <c r="P15" s="9"/>
      <c r="Q15" s="9"/>
      <c r="R15" s="9"/>
      <c r="S15" s="9"/>
      <c r="T15" s="9"/>
      <c r="U15" s="9"/>
      <c r="V15" s="9"/>
      <c r="W15" s="9"/>
      <c r="X15" s="9"/>
      <c r="Y15" s="9"/>
      <c r="Z15" s="9"/>
      <c r="AA15" s="9"/>
      <c r="AB15" s="9"/>
    </row>
    <row r="16" spans="1:28">
      <c r="A16" s="6">
        <v>1014</v>
      </c>
      <c r="B16" s="6" t="s">
        <v>68</v>
      </c>
      <c r="C16" s="6">
        <v>93</v>
      </c>
      <c r="D16" s="6">
        <v>40</v>
      </c>
      <c r="E16" s="6">
        <v>44</v>
      </c>
      <c r="F16" s="8">
        <v>45441</v>
      </c>
      <c r="G16" s="36">
        <f t="shared" si="0"/>
        <v>177</v>
      </c>
      <c r="H16" s="37" t="e">
        <f>G16/$P$2*100</f>
        <v>#DIV/0!</v>
      </c>
      <c r="I16" s="37">
        <f t="shared" si="1"/>
        <v>59</v>
      </c>
      <c r="J16" s="9" t="str">
        <f t="array" ref="J16">IF(I16&gt;80,"A",IF(I16&gt;70,"B",IF(I16&gt;60,"C",IF(I16&gt;50,"D",IF(I16&gt;40,"E",FAIL)))))</f>
        <v>D</v>
      </c>
      <c r="K16" s="9" t="str">
        <f t="shared" si="2"/>
        <v>NO</v>
      </c>
      <c r="L16" s="37">
        <f t="shared" si="3"/>
        <v>59</v>
      </c>
      <c r="M16" s="9">
        <f t="shared" si="4"/>
        <v>59</v>
      </c>
      <c r="N16" s="9">
        <f t="shared" si="5"/>
        <v>59</v>
      </c>
      <c r="O16" s="9"/>
      <c r="P16" s="9"/>
      <c r="Q16" s="9"/>
      <c r="R16" s="9"/>
      <c r="S16" s="9"/>
      <c r="T16" s="9"/>
      <c r="U16" s="9"/>
      <c r="V16" s="9"/>
      <c r="W16" s="9"/>
      <c r="X16" s="9"/>
      <c r="Y16" s="9"/>
      <c r="Z16" s="9"/>
      <c r="AA16" s="9"/>
      <c r="AB16" s="9"/>
    </row>
    <row r="17" spans="1:28">
      <c r="A17" s="6">
        <v>1015</v>
      </c>
      <c r="B17" s="6" t="s">
        <v>69</v>
      </c>
      <c r="C17" s="6">
        <v>70</v>
      </c>
      <c r="D17" s="6">
        <v>51</v>
      </c>
      <c r="E17" s="6">
        <v>75</v>
      </c>
      <c r="F17" s="8">
        <v>45621</v>
      </c>
      <c r="G17" s="36">
        <f t="shared" si="0"/>
        <v>196</v>
      </c>
      <c r="H17" s="37" t="e">
        <f>G17/$P$2*100</f>
        <v>#DIV/0!</v>
      </c>
      <c r="I17" s="37">
        <f t="shared" si="1"/>
        <v>65.3333333333333</v>
      </c>
      <c r="J17" s="9" t="str">
        <f t="array" ref="J17">IF(I17&gt;80,"A",IF(I17&gt;70,"B",IF(I17&gt;60,"C",IF(I17&gt;50,"D",IF(I17&gt;40,"E",FAIL)))))</f>
        <v>C</v>
      </c>
      <c r="K17" s="9" t="str">
        <f t="shared" si="2"/>
        <v>NO</v>
      </c>
      <c r="L17" s="37">
        <f t="shared" si="3"/>
        <v>65.3</v>
      </c>
      <c r="M17" s="9">
        <f t="shared" si="4"/>
        <v>66</v>
      </c>
      <c r="N17" s="9">
        <f t="shared" si="5"/>
        <v>65</v>
      </c>
      <c r="O17" s="9"/>
      <c r="P17" s="9"/>
      <c r="Q17" s="9"/>
      <c r="R17" s="9"/>
      <c r="S17" s="9"/>
      <c r="T17" s="9"/>
      <c r="U17" s="9"/>
      <c r="V17" s="9"/>
      <c r="W17" s="9"/>
      <c r="X17" s="9"/>
      <c r="Y17" s="9"/>
      <c r="Z17" s="9"/>
      <c r="AA17" s="9"/>
      <c r="AB17" s="9"/>
    </row>
    <row r="18" spans="1:28">
      <c r="A18" s="6">
        <v>1016</v>
      </c>
      <c r="B18" s="6" t="s">
        <v>70</v>
      </c>
      <c r="C18" s="6">
        <v>98</v>
      </c>
      <c r="D18" s="6">
        <v>77</v>
      </c>
      <c r="E18" s="6">
        <v>60</v>
      </c>
      <c r="F18" s="8">
        <v>45801</v>
      </c>
      <c r="G18" s="36">
        <f t="shared" si="0"/>
        <v>235</v>
      </c>
      <c r="H18" s="37" t="e">
        <f>G18/$P$2*100</f>
        <v>#DIV/0!</v>
      </c>
      <c r="I18" s="37">
        <f t="shared" si="1"/>
        <v>78.3333333333333</v>
      </c>
      <c r="J18" s="9" t="str">
        <f t="array" ref="J18">IF(I18&gt;80,"A",IF(I18&gt;70,"B",IF(I18&gt;60,"C",IF(I18&gt;50,"D",IF(I18&gt;40,"E",FAIL)))))</f>
        <v>B</v>
      </c>
      <c r="K18" s="9" t="str">
        <f t="shared" si="2"/>
        <v>NO</v>
      </c>
      <c r="L18" s="37">
        <f t="shared" si="3"/>
        <v>78.3</v>
      </c>
      <c r="M18" s="9">
        <f t="shared" si="4"/>
        <v>79</v>
      </c>
      <c r="N18" s="9">
        <f t="shared" si="5"/>
        <v>78</v>
      </c>
      <c r="O18" s="9"/>
      <c r="P18" s="9"/>
      <c r="Q18" s="9"/>
      <c r="R18" s="9"/>
      <c r="S18" s="9"/>
      <c r="T18" s="9"/>
      <c r="U18" s="9"/>
      <c r="V18" s="9"/>
      <c r="W18" s="9"/>
      <c r="X18" s="9"/>
      <c r="Y18" s="9"/>
      <c r="Z18" s="9"/>
      <c r="AA18" s="9"/>
      <c r="AB18" s="9"/>
    </row>
    <row r="19" spans="1:28">
      <c r="A19" s="6">
        <v>1017</v>
      </c>
      <c r="B19" s="6" t="s">
        <v>71</v>
      </c>
      <c r="C19" s="6">
        <v>66</v>
      </c>
      <c r="D19" s="6">
        <v>59</v>
      </c>
      <c r="E19" s="6">
        <v>40</v>
      </c>
      <c r="F19" s="8">
        <v>45981</v>
      </c>
      <c r="G19" s="36">
        <f t="shared" si="0"/>
        <v>165</v>
      </c>
      <c r="H19" s="37" t="e">
        <f>G19/$P$2*100</f>
        <v>#DIV/0!</v>
      </c>
      <c r="I19" s="37">
        <f t="shared" si="1"/>
        <v>55</v>
      </c>
      <c r="J19" s="9" t="str">
        <f t="array" ref="J19">IF(I19&gt;80,"A",IF(I19&gt;70,"B",IF(I19&gt;60,"C",IF(I19&gt;50,"D",IF(I19&gt;40,"E",FAIL)))))</f>
        <v>D</v>
      </c>
      <c r="K19" s="9" t="str">
        <f t="shared" si="2"/>
        <v>NO</v>
      </c>
      <c r="L19" s="37">
        <f t="shared" si="3"/>
        <v>55</v>
      </c>
      <c r="M19" s="9">
        <f t="shared" si="4"/>
        <v>55</v>
      </c>
      <c r="N19" s="9">
        <f t="shared" si="5"/>
        <v>55</v>
      </c>
      <c r="O19" s="9"/>
      <c r="P19" s="9"/>
      <c r="Q19" s="9"/>
      <c r="R19" s="9"/>
      <c r="S19" s="9"/>
      <c r="T19" s="9"/>
      <c r="U19" s="9"/>
      <c r="V19" s="9"/>
      <c r="W19" s="9"/>
      <c r="X19" s="9"/>
      <c r="Y19" s="9"/>
      <c r="Z19" s="9"/>
      <c r="AA19" s="9"/>
      <c r="AB19" s="9"/>
    </row>
    <row r="20" spans="1:28">
      <c r="A20" s="6">
        <v>1018</v>
      </c>
      <c r="B20" s="6" t="s">
        <v>72</v>
      </c>
      <c r="C20" s="6">
        <v>82</v>
      </c>
      <c r="D20" s="6">
        <v>48</v>
      </c>
      <c r="E20" s="6">
        <v>79</v>
      </c>
      <c r="F20" s="8">
        <v>46161</v>
      </c>
      <c r="G20" s="36">
        <f t="shared" si="0"/>
        <v>209</v>
      </c>
      <c r="H20" s="37" t="e">
        <f>G20/$P$2*100</f>
        <v>#DIV/0!</v>
      </c>
      <c r="I20" s="37">
        <f t="shared" si="1"/>
        <v>69.6666666666667</v>
      </c>
      <c r="J20" s="9" t="str">
        <f t="array" ref="J20">IF(I20&gt;80,"A",IF(I20&gt;70,"B",IF(I20&gt;60,"C",IF(I20&gt;50,"D",IF(I20&gt;40,"E",FAIL)))))</f>
        <v>C</v>
      </c>
      <c r="K20" s="9" t="str">
        <f t="shared" si="2"/>
        <v>NO</v>
      </c>
      <c r="L20" s="37">
        <f t="shared" si="3"/>
        <v>69.7</v>
      </c>
      <c r="M20" s="9">
        <f t="shared" si="4"/>
        <v>70</v>
      </c>
      <c r="N20" s="9">
        <f t="shared" si="5"/>
        <v>69</v>
      </c>
      <c r="O20" s="9"/>
      <c r="P20" s="9"/>
      <c r="Q20" s="9"/>
      <c r="R20" s="9"/>
      <c r="S20" s="9"/>
      <c r="T20" s="9"/>
      <c r="U20" s="9"/>
      <c r="V20" s="9"/>
      <c r="W20" s="9"/>
      <c r="X20" s="9"/>
      <c r="Y20" s="9"/>
      <c r="Z20" s="9"/>
      <c r="AA20" s="9"/>
      <c r="AB20" s="9"/>
    </row>
    <row r="21" ht="15.75" customHeight="1" spans="1:28">
      <c r="A21" s="6">
        <v>1019</v>
      </c>
      <c r="B21" s="6" t="s">
        <v>73</v>
      </c>
      <c r="C21" s="6">
        <v>90</v>
      </c>
      <c r="D21" s="6">
        <v>78</v>
      </c>
      <c r="E21" s="6">
        <v>60</v>
      </c>
      <c r="F21" s="8">
        <v>46341</v>
      </c>
      <c r="G21" s="36">
        <f t="shared" si="0"/>
        <v>228</v>
      </c>
      <c r="H21" s="37" t="e">
        <f>G21/$P$2*100</f>
        <v>#DIV/0!</v>
      </c>
      <c r="I21" s="37">
        <f t="shared" si="1"/>
        <v>76</v>
      </c>
      <c r="J21" s="9" t="str">
        <f t="array" ref="J21">IF(I21&gt;80,"A",IF(I21&gt;70,"B",IF(I21&gt;60,"C",IF(I21&gt;50,"D",IF(I21&gt;40,"E",FAIL)))))</f>
        <v>B</v>
      </c>
      <c r="K21" s="9" t="str">
        <f t="shared" si="2"/>
        <v>NO</v>
      </c>
      <c r="L21" s="37">
        <f t="shared" si="3"/>
        <v>76</v>
      </c>
      <c r="M21" s="9">
        <f t="shared" si="4"/>
        <v>76</v>
      </c>
      <c r="N21" s="9">
        <f t="shared" si="5"/>
        <v>76</v>
      </c>
      <c r="O21" s="9"/>
      <c r="P21" s="9"/>
      <c r="Q21" s="9"/>
      <c r="R21" s="9"/>
      <c r="S21" s="9"/>
      <c r="T21" s="9"/>
      <c r="U21" s="9"/>
      <c r="V21" s="9"/>
      <c r="W21" s="9"/>
      <c r="X21" s="9"/>
      <c r="Y21" s="9"/>
      <c r="Z21" s="9"/>
      <c r="AA21" s="9"/>
      <c r="AB21" s="9"/>
    </row>
    <row r="22" ht="15.75" customHeight="1" spans="1:28">
      <c r="A22" s="6">
        <v>1020</v>
      </c>
      <c r="B22" s="6" t="s">
        <v>74</v>
      </c>
      <c r="C22" s="6">
        <v>83</v>
      </c>
      <c r="D22" s="6">
        <v>92</v>
      </c>
      <c r="E22" s="6">
        <v>55</v>
      </c>
      <c r="F22" s="8">
        <v>46521</v>
      </c>
      <c r="G22" s="36">
        <f t="shared" si="0"/>
        <v>230</v>
      </c>
      <c r="H22" s="37" t="e">
        <f>G22/$P$2*100</f>
        <v>#DIV/0!</v>
      </c>
      <c r="I22" s="37">
        <f t="shared" si="1"/>
        <v>76.6666666666667</v>
      </c>
      <c r="J22" s="9" t="str">
        <f t="array" ref="J22">IF(I22&gt;80,"A",IF(I22&gt;70,"B",IF(I22&gt;60,"C",IF(I22&gt;50,"D",IF(I22&gt;40,"E",FAIL)))))</f>
        <v>B</v>
      </c>
      <c r="K22" s="9" t="str">
        <f t="shared" si="2"/>
        <v>YES</v>
      </c>
      <c r="L22" s="37">
        <f t="shared" si="3"/>
        <v>76.7</v>
      </c>
      <c r="M22" s="9">
        <f t="shared" si="4"/>
        <v>77</v>
      </c>
      <c r="N22" s="9">
        <f t="shared" si="5"/>
        <v>76</v>
      </c>
      <c r="O22" s="9"/>
      <c r="P22" s="9"/>
      <c r="Q22" s="9"/>
      <c r="R22" s="9"/>
      <c r="S22" s="9"/>
      <c r="T22" s="9"/>
      <c r="U22" s="9"/>
      <c r="V22" s="9"/>
      <c r="W22" s="9"/>
      <c r="X22" s="9"/>
      <c r="Y22" s="9"/>
      <c r="Z22" s="9"/>
      <c r="AA22" s="9"/>
      <c r="AB22" s="9"/>
    </row>
    <row r="23" ht="15.75" customHeight="1" spans="1:28">
      <c r="A23" t="s">
        <v>75</v>
      </c>
      <c r="N23">
        <f>SUBTOTAL(109,Table1[Floor avarage])</f>
        <v>1401</v>
      </c>
      <c r="O23" s="9"/>
      <c r="P23" s="9"/>
      <c r="Q23" s="9"/>
      <c r="R23" s="9"/>
      <c r="S23" s="9"/>
      <c r="T23" s="9"/>
      <c r="U23" s="9"/>
      <c r="V23" s="9"/>
      <c r="W23" s="9"/>
      <c r="X23" s="9"/>
      <c r="Y23" s="9"/>
      <c r="Z23" s="9"/>
      <c r="AA23" s="9"/>
      <c r="AB23" s="9"/>
    </row>
    <row r="24" ht="15.75" customHeight="1" spans="1:28">
      <c r="A24" s="38"/>
      <c r="B24" s="38"/>
      <c r="C24" s="38"/>
      <c r="D24" s="38"/>
      <c r="E24" s="38"/>
      <c r="F24" s="39"/>
      <c r="G24" s="36"/>
      <c r="H24" s="37"/>
      <c r="I24" s="37"/>
      <c r="J24" s="9"/>
      <c r="K24" s="9"/>
      <c r="L24" s="9"/>
      <c r="M24" s="9"/>
      <c r="N24" s="9"/>
      <c r="O24" s="9"/>
      <c r="P24" s="9"/>
      <c r="Q24" s="9"/>
      <c r="R24" s="9"/>
      <c r="S24" s="9"/>
      <c r="T24" s="9"/>
      <c r="U24" s="9"/>
      <c r="V24" s="9"/>
      <c r="W24" s="9"/>
      <c r="X24" s="9"/>
      <c r="Y24" s="9"/>
      <c r="Z24" s="9"/>
      <c r="AA24" s="9"/>
      <c r="AB24" s="9"/>
    </row>
    <row r="25" ht="15.75" customHeight="1" spans="1:28">
      <c r="A25" s="38"/>
      <c r="B25" s="38"/>
      <c r="C25" s="38"/>
      <c r="D25" s="38"/>
      <c r="E25" s="38"/>
      <c r="F25" s="39"/>
      <c r="G25" s="36"/>
      <c r="H25" s="37"/>
      <c r="I25" s="37"/>
      <c r="J25" s="9"/>
      <c r="K25" s="9"/>
      <c r="L25" s="9"/>
      <c r="M25" s="9"/>
      <c r="N25" s="9"/>
      <c r="O25" s="9"/>
      <c r="P25" s="9"/>
      <c r="Q25" s="9"/>
      <c r="R25" s="9"/>
      <c r="S25" s="9"/>
      <c r="T25" s="9"/>
      <c r="U25" s="9"/>
      <c r="V25" s="9"/>
      <c r="W25" s="9"/>
      <c r="X25" s="9"/>
      <c r="Y25" s="9"/>
      <c r="Z25" s="9"/>
      <c r="AA25" s="9"/>
      <c r="AB25" s="9"/>
    </row>
    <row r="26" ht="15.75" customHeight="1" spans="1:28">
      <c r="A26" s="40" t="s">
        <v>76</v>
      </c>
      <c r="B26" s="40" t="s">
        <v>77</v>
      </c>
      <c r="C26" s="9"/>
      <c r="D26" s="9"/>
      <c r="E26" s="9"/>
      <c r="F26" s="9"/>
      <c r="G26" s="41" t="s">
        <v>75</v>
      </c>
      <c r="H26" s="37"/>
      <c r="I26" s="37"/>
      <c r="J26" s="9"/>
      <c r="K26" s="9"/>
      <c r="L26" s="9"/>
      <c r="M26" s="9"/>
      <c r="N26" s="9"/>
      <c r="O26" s="9"/>
      <c r="P26" s="9"/>
      <c r="Q26" s="9"/>
      <c r="R26" s="9"/>
      <c r="S26" s="9"/>
      <c r="T26" s="9"/>
      <c r="U26" s="9"/>
      <c r="V26" s="9"/>
      <c r="W26" s="9"/>
      <c r="X26" s="9"/>
      <c r="Y26" s="9"/>
      <c r="Z26" s="9"/>
      <c r="AA26" s="9"/>
      <c r="AB26" s="9"/>
    </row>
    <row r="27" ht="15.75" customHeight="1" spans="1:28">
      <c r="A27" s="42" t="s">
        <v>78</v>
      </c>
      <c r="B27" s="9">
        <f>COUNTIF(I3:I22,"&gt;60")</f>
        <v>16</v>
      </c>
      <c r="C27" s="9"/>
      <c r="D27" s="9"/>
      <c r="E27" s="9"/>
      <c r="F27" s="9"/>
      <c r="G27" s="9">
        <v>300</v>
      </c>
      <c r="H27" s="37"/>
      <c r="I27" s="37"/>
      <c r="J27" s="9"/>
      <c r="K27" s="9"/>
      <c r="L27" s="9"/>
      <c r="M27" s="9"/>
      <c r="N27" s="9"/>
      <c r="O27" s="9"/>
      <c r="P27" s="9"/>
      <c r="Q27" s="9"/>
      <c r="R27" s="9"/>
      <c r="S27" s="9"/>
      <c r="T27" s="9"/>
      <c r="U27" s="9"/>
      <c r="V27" s="9"/>
      <c r="W27" s="9"/>
      <c r="X27" s="9"/>
      <c r="Y27" s="9"/>
      <c r="Z27" s="9"/>
      <c r="AA27" s="9"/>
      <c r="AB27" s="9"/>
    </row>
    <row r="28" ht="15.75" customHeight="1" spans="1:28">
      <c r="A28" s="9"/>
      <c r="B28" s="9"/>
      <c r="C28" s="9"/>
      <c r="D28" s="9"/>
      <c r="E28" s="9"/>
      <c r="F28" s="9"/>
      <c r="G28" s="36"/>
      <c r="H28" s="37"/>
      <c r="I28" s="37"/>
      <c r="J28" s="9"/>
      <c r="K28" s="9"/>
      <c r="L28" s="9"/>
      <c r="M28" s="9"/>
      <c r="N28" s="9"/>
      <c r="O28" s="9"/>
      <c r="P28" s="9"/>
      <c r="Q28" s="9"/>
      <c r="R28" s="9"/>
      <c r="S28" s="9"/>
      <c r="T28" s="9"/>
      <c r="U28" s="9"/>
      <c r="V28" s="9"/>
      <c r="W28" s="9"/>
      <c r="X28" s="9"/>
      <c r="Y28" s="9"/>
      <c r="Z28" s="9"/>
      <c r="AA28" s="9"/>
      <c r="AB28" s="9"/>
    </row>
    <row r="29" ht="15.75" customHeight="1" spans="1:28">
      <c r="A29" s="41" t="s">
        <v>13</v>
      </c>
      <c r="B29" s="9">
        <f>COUNTIFS(C3:C22,"&gt;60")</f>
        <v>19</v>
      </c>
      <c r="C29" s="9"/>
      <c r="D29" s="9"/>
      <c r="E29" s="9"/>
      <c r="F29" s="9"/>
      <c r="G29" s="36"/>
      <c r="H29" s="37"/>
      <c r="I29" s="37"/>
      <c r="J29" s="9"/>
      <c r="K29" s="9"/>
      <c r="L29" s="9"/>
      <c r="M29" s="9"/>
      <c r="N29" s="9"/>
      <c r="O29" s="9"/>
      <c r="P29" s="9"/>
      <c r="Q29" s="9"/>
      <c r="R29" s="9"/>
      <c r="S29" s="9"/>
      <c r="T29" s="9"/>
      <c r="U29" s="9"/>
      <c r="V29" s="9"/>
      <c r="W29" s="9"/>
      <c r="X29" s="9"/>
      <c r="Y29" s="9"/>
      <c r="Z29" s="9"/>
      <c r="AA29" s="9"/>
      <c r="AB29" s="9"/>
    </row>
    <row r="30" ht="15.75" customHeight="1" spans="1:28">
      <c r="A30" s="9"/>
      <c r="B30" s="9"/>
      <c r="C30" s="9"/>
      <c r="D30" s="9"/>
      <c r="E30" s="9"/>
      <c r="F30" s="9"/>
      <c r="G30" s="36"/>
      <c r="H30" s="37"/>
      <c r="I30" s="37"/>
      <c r="J30" s="9"/>
      <c r="K30" s="9"/>
      <c r="L30" s="9"/>
      <c r="M30" s="9"/>
      <c r="N30" s="9"/>
      <c r="O30" s="9"/>
      <c r="P30" s="9"/>
      <c r="Q30" s="9"/>
      <c r="R30" s="9"/>
      <c r="S30" s="9"/>
      <c r="T30" s="9"/>
      <c r="U30" s="9"/>
      <c r="V30" s="9"/>
      <c r="W30" s="9"/>
      <c r="X30" s="9"/>
      <c r="Y30" s="9"/>
      <c r="Z30" s="9"/>
      <c r="AA30" s="9"/>
      <c r="AB30" s="9"/>
    </row>
    <row r="31" ht="15.75" customHeight="1" spans="1:28">
      <c r="A31" s="41" t="s">
        <v>79</v>
      </c>
      <c r="B31" s="37">
        <f>AVERAGEIFS(I3:I22,J3:J22,"c")</f>
        <v>67.2857142857143</v>
      </c>
      <c r="C31" s="9"/>
      <c r="D31" s="9"/>
      <c r="E31" s="9"/>
      <c r="F31" s="9"/>
      <c r="G31" s="36"/>
      <c r="H31" s="37"/>
      <c r="I31" s="37"/>
      <c r="J31" s="9"/>
      <c r="K31" s="9"/>
      <c r="L31" s="9"/>
      <c r="M31" s="9"/>
      <c r="N31" s="9"/>
      <c r="O31" s="9"/>
      <c r="P31" s="9"/>
      <c r="Q31" s="9"/>
      <c r="R31" s="9"/>
      <c r="S31" s="9"/>
      <c r="T31" s="9"/>
      <c r="U31" s="9"/>
      <c r="V31" s="9"/>
      <c r="W31" s="9"/>
      <c r="X31" s="9"/>
      <c r="Y31" s="9"/>
      <c r="Z31" s="9"/>
      <c r="AA31" s="9"/>
      <c r="AB31" s="9"/>
    </row>
    <row r="32" ht="15.75" customHeight="1" spans="1:28">
      <c r="A32" s="9"/>
      <c r="B32" s="9"/>
      <c r="C32" s="9"/>
      <c r="D32" s="9"/>
      <c r="E32" s="9"/>
      <c r="F32" s="9"/>
      <c r="G32" s="36"/>
      <c r="H32" s="37"/>
      <c r="I32" s="37"/>
      <c r="J32" s="9"/>
      <c r="K32" s="9"/>
      <c r="L32" s="9"/>
      <c r="M32" s="9"/>
      <c r="N32" s="9"/>
      <c r="O32" s="9"/>
      <c r="P32" s="9"/>
      <c r="Q32" s="9"/>
      <c r="R32" s="9"/>
      <c r="S32" s="9"/>
      <c r="T32" s="9"/>
      <c r="U32" s="9"/>
      <c r="V32" s="9"/>
      <c r="W32" s="9"/>
      <c r="X32" s="9"/>
      <c r="Y32" s="9"/>
      <c r="Z32" s="9"/>
      <c r="AA32" s="9"/>
      <c r="AB32" s="9"/>
    </row>
    <row r="33" ht="15.75" customHeight="1" spans="1:28">
      <c r="A33" s="41" t="s">
        <v>41</v>
      </c>
      <c r="B33" s="43" t="s">
        <v>42</v>
      </c>
      <c r="C33" s="9"/>
      <c r="D33" s="9"/>
      <c r="E33" s="9"/>
      <c r="F33" s="9"/>
      <c r="G33" s="36"/>
      <c r="H33" s="37"/>
      <c r="I33" s="37"/>
      <c r="J33" s="9"/>
      <c r="K33" s="9"/>
      <c r="L33" s="9"/>
      <c r="M33" s="9"/>
      <c r="N33" s="9"/>
      <c r="O33" s="9"/>
      <c r="P33" s="9"/>
      <c r="Q33" s="9"/>
      <c r="R33" s="9"/>
      <c r="S33" s="9"/>
      <c r="T33" s="9"/>
      <c r="U33" s="9"/>
      <c r="V33" s="9"/>
      <c r="W33" s="9"/>
      <c r="X33" s="9"/>
      <c r="Y33" s="9"/>
      <c r="Z33" s="9"/>
      <c r="AA33" s="9"/>
      <c r="AB33" s="9"/>
    </row>
    <row r="34" ht="15.75" customHeight="1" spans="1:28">
      <c r="A34" s="9">
        <v>1015</v>
      </c>
      <c r="B34" s="9" t="str">
        <f>VLOOKUP(A34,A1:K22,2,0)</f>
        <v>Student 15</v>
      </c>
      <c r="C34" s="9"/>
      <c r="D34" s="9"/>
      <c r="E34" s="9"/>
      <c r="F34" s="9"/>
      <c r="G34" s="36"/>
      <c r="H34" s="37"/>
      <c r="I34" s="37"/>
      <c r="J34" s="9"/>
      <c r="K34" s="9"/>
      <c r="L34" s="9"/>
      <c r="M34" s="9"/>
      <c r="N34" s="9"/>
      <c r="O34" s="9"/>
      <c r="P34" s="9"/>
      <c r="Q34" s="9"/>
      <c r="R34" s="9"/>
      <c r="S34" s="9"/>
      <c r="T34" s="9"/>
      <c r="U34" s="9"/>
      <c r="V34" s="9"/>
      <c r="W34" s="9"/>
      <c r="X34" s="9"/>
      <c r="Y34" s="9"/>
      <c r="Z34" s="9"/>
      <c r="AA34" s="9"/>
      <c r="AB34" s="9"/>
    </row>
    <row r="35" ht="15.75" customHeight="1" spans="1:28">
      <c r="A35" s="9"/>
      <c r="B35" s="9"/>
      <c r="C35" s="9"/>
      <c r="D35" s="9"/>
      <c r="E35" s="9"/>
      <c r="F35" s="9"/>
      <c r="G35" s="36"/>
      <c r="H35" s="37"/>
      <c r="I35" s="37"/>
      <c r="J35" s="9"/>
      <c r="K35" s="9"/>
      <c r="L35" s="9"/>
      <c r="M35" s="9"/>
      <c r="N35" s="9"/>
      <c r="O35" s="9"/>
      <c r="P35" s="9"/>
      <c r="Q35" s="9"/>
      <c r="R35" s="9"/>
      <c r="S35" s="9"/>
      <c r="T35" s="9"/>
      <c r="U35" s="9"/>
      <c r="V35" s="9"/>
      <c r="W35" s="9"/>
      <c r="X35" s="9"/>
      <c r="Y35" s="9"/>
      <c r="Z35" s="9"/>
      <c r="AA35" s="9"/>
      <c r="AB35" s="9"/>
    </row>
    <row r="36" ht="15.75" customHeight="1" spans="1:28">
      <c r="A36" s="41" t="s">
        <v>80</v>
      </c>
      <c r="B36" s="9" t="str">
        <f>IFERROR(__xludf.DUMMYFUNCTION("FILTER(B2:B21,I2:I21&gt;90)"),"Student 13")</f>
        <v>Student 13</v>
      </c>
      <c r="C36" s="9"/>
      <c r="D36" s="9"/>
      <c r="E36" s="9"/>
      <c r="F36" s="9"/>
      <c r="G36" s="36"/>
      <c r="H36" s="37"/>
      <c r="I36" s="37"/>
      <c r="J36" s="9"/>
      <c r="K36" s="9"/>
      <c r="L36" s="9"/>
      <c r="M36" s="9"/>
      <c r="N36" s="9"/>
      <c r="O36" s="9"/>
      <c r="P36" s="9"/>
      <c r="Q36" s="9"/>
      <c r="R36" s="9"/>
      <c r="S36" s="9"/>
      <c r="T36" s="9"/>
      <c r="U36" s="9"/>
      <c r="V36" s="9"/>
      <c r="W36" s="9"/>
      <c r="X36" s="9"/>
      <c r="Y36" s="9"/>
      <c r="Z36" s="9"/>
      <c r="AA36" s="9"/>
      <c r="AB36" s="9"/>
    </row>
    <row r="37" ht="15.75" customHeight="1" spans="1:28">
      <c r="A37" s="9"/>
      <c r="B37" s="9"/>
      <c r="C37" s="9"/>
      <c r="D37" s="9"/>
      <c r="E37" s="9"/>
      <c r="F37" s="9"/>
      <c r="G37" s="36"/>
      <c r="H37" s="37"/>
      <c r="I37" s="37"/>
      <c r="J37" s="9"/>
      <c r="K37" s="9"/>
      <c r="L37" s="9"/>
      <c r="M37" s="9"/>
      <c r="N37" s="9"/>
      <c r="O37" s="9"/>
      <c r="P37" s="9"/>
      <c r="Q37" s="9"/>
      <c r="R37" s="9"/>
      <c r="S37" s="9"/>
      <c r="T37" s="9"/>
      <c r="U37" s="9"/>
      <c r="V37" s="9"/>
      <c r="W37" s="9"/>
      <c r="X37" s="9"/>
      <c r="Y37" s="9"/>
      <c r="Z37" s="9"/>
      <c r="AA37" s="9"/>
      <c r="AB37" s="9"/>
    </row>
    <row r="38" ht="15.75" customHeight="1" spans="1:28">
      <c r="A38" s="9"/>
      <c r="B38" s="9"/>
      <c r="C38" s="9"/>
      <c r="D38" s="9"/>
      <c r="E38" s="9"/>
      <c r="F38" s="9"/>
      <c r="G38" s="36"/>
      <c r="H38" s="37"/>
      <c r="I38" s="37"/>
      <c r="J38" s="9"/>
      <c r="K38" s="9"/>
      <c r="L38" s="9"/>
      <c r="M38" s="9"/>
      <c r="N38" s="9"/>
      <c r="O38" s="9"/>
      <c r="P38" s="9"/>
      <c r="Q38" s="9"/>
      <c r="R38" s="9"/>
      <c r="S38" s="9"/>
      <c r="T38" s="9"/>
      <c r="U38" s="9"/>
      <c r="V38" s="9"/>
      <c r="W38" s="9"/>
      <c r="X38" s="9"/>
      <c r="Y38" s="9"/>
      <c r="Z38" s="9"/>
      <c r="AA38" s="9"/>
      <c r="AB38" s="9"/>
    </row>
    <row r="39" ht="15.75" customHeight="1" spans="1:28">
      <c r="A39" s="9"/>
      <c r="B39" s="9"/>
      <c r="C39" s="9"/>
      <c r="D39" s="9"/>
      <c r="E39" s="9"/>
      <c r="F39" s="9"/>
      <c r="G39" s="36"/>
      <c r="H39" s="37"/>
      <c r="I39" s="37"/>
      <c r="J39" s="9"/>
      <c r="K39" s="9"/>
      <c r="L39" s="9"/>
      <c r="M39" s="9"/>
      <c r="N39" s="9"/>
      <c r="O39" s="9"/>
      <c r="P39" s="9"/>
      <c r="Q39" s="9"/>
      <c r="R39" s="9"/>
      <c r="S39" s="9"/>
      <c r="T39" s="9"/>
      <c r="U39" s="9"/>
      <c r="V39" s="9"/>
      <c r="W39" s="9"/>
      <c r="X39" s="9"/>
      <c r="Y39" s="9"/>
      <c r="Z39" s="9"/>
      <c r="AA39" s="9"/>
      <c r="AB39" s="9"/>
    </row>
    <row r="40" ht="15.75" customHeight="1" spans="1:28">
      <c r="A40" s="9"/>
      <c r="B40" s="9"/>
      <c r="C40" s="9"/>
      <c r="D40" s="9"/>
      <c r="E40" s="9"/>
      <c r="F40" s="9"/>
      <c r="G40" s="36"/>
      <c r="H40" s="37"/>
      <c r="I40" s="37"/>
      <c r="J40" s="9"/>
      <c r="K40" s="9"/>
      <c r="L40" s="9"/>
      <c r="M40" s="9"/>
      <c r="N40" s="9"/>
      <c r="O40" s="9"/>
      <c r="P40" s="9"/>
      <c r="Q40" s="9"/>
      <c r="R40" s="9"/>
      <c r="S40" s="9"/>
      <c r="T40" s="9"/>
      <c r="U40" s="9"/>
      <c r="V40" s="9"/>
      <c r="W40" s="9"/>
      <c r="X40" s="9"/>
      <c r="Y40" s="9"/>
      <c r="Z40" s="9"/>
      <c r="AA40" s="9"/>
      <c r="AB40" s="9"/>
    </row>
    <row r="41" ht="15.75" customHeight="1" spans="1:28">
      <c r="A41" s="9"/>
      <c r="B41" s="9"/>
      <c r="C41" s="9"/>
      <c r="D41" s="9"/>
      <c r="E41" s="9"/>
      <c r="F41" s="9"/>
      <c r="G41" s="36"/>
      <c r="H41" s="37"/>
      <c r="I41" s="37"/>
      <c r="J41" s="9"/>
      <c r="K41" s="9"/>
      <c r="L41" s="9"/>
      <c r="M41" s="9"/>
      <c r="N41" s="9"/>
      <c r="O41" s="9"/>
      <c r="P41" s="9"/>
      <c r="Q41" s="9"/>
      <c r="R41" s="9"/>
      <c r="S41" s="9"/>
      <c r="T41" s="9"/>
      <c r="U41" s="9"/>
      <c r="V41" s="9"/>
      <c r="W41" s="9"/>
      <c r="X41" s="9"/>
      <c r="Y41" s="9"/>
      <c r="Z41" s="9"/>
      <c r="AA41" s="9"/>
      <c r="AB41" s="9"/>
    </row>
    <row r="42" ht="15.75" customHeight="1" spans="1:28">
      <c r="A42" s="9"/>
      <c r="B42" s="9"/>
      <c r="C42" s="9"/>
      <c r="D42" s="9"/>
      <c r="E42" s="9"/>
      <c r="F42" s="9"/>
      <c r="G42" s="36"/>
      <c r="H42" s="37"/>
      <c r="I42" s="37"/>
      <c r="J42" s="9"/>
      <c r="K42" s="9"/>
      <c r="L42" s="9"/>
      <c r="M42" s="9"/>
      <c r="N42" s="9"/>
      <c r="O42" s="9"/>
      <c r="P42" s="9"/>
      <c r="Q42" s="9"/>
      <c r="R42" s="9"/>
      <c r="S42" s="9"/>
      <c r="T42" s="9"/>
      <c r="U42" s="9"/>
      <c r="V42" s="9"/>
      <c r="W42" s="9"/>
      <c r="X42" s="9"/>
      <c r="Y42" s="9"/>
      <c r="Z42" s="9"/>
      <c r="AA42" s="9"/>
      <c r="AB42" s="9"/>
    </row>
    <row r="43" ht="15.75" customHeight="1" spans="1:28">
      <c r="A43" s="9"/>
      <c r="B43" s="9"/>
      <c r="C43" s="9"/>
      <c r="D43" s="9"/>
      <c r="E43" s="9"/>
      <c r="F43" s="9"/>
      <c r="G43" s="36"/>
      <c r="H43" s="37"/>
      <c r="I43" s="37"/>
      <c r="J43" s="9"/>
      <c r="K43" s="9"/>
      <c r="L43" s="9"/>
      <c r="M43" s="9"/>
      <c r="N43" s="9"/>
      <c r="O43" s="9"/>
      <c r="P43" s="9"/>
      <c r="Q43" s="9"/>
      <c r="R43" s="9"/>
      <c r="S43" s="9"/>
      <c r="T43" s="9"/>
      <c r="U43" s="9"/>
      <c r="V43" s="9"/>
      <c r="W43" s="9"/>
      <c r="X43" s="9"/>
      <c r="Y43" s="9"/>
      <c r="Z43" s="9"/>
      <c r="AA43" s="9"/>
      <c r="AB43" s="9"/>
    </row>
    <row r="44" ht="15.75" customHeight="1" spans="1:28">
      <c r="A44" s="9"/>
      <c r="B44" s="9"/>
      <c r="C44" s="9"/>
      <c r="D44" s="9"/>
      <c r="E44" s="9"/>
      <c r="F44" s="9"/>
      <c r="G44" s="36"/>
      <c r="H44" s="37"/>
      <c r="I44" s="37"/>
      <c r="J44" s="9"/>
      <c r="K44" s="9"/>
      <c r="L44" s="9"/>
      <c r="M44" s="9"/>
      <c r="N44" s="9"/>
      <c r="O44" s="9"/>
      <c r="P44" s="9"/>
      <c r="Q44" s="9"/>
      <c r="R44" s="9"/>
      <c r="S44" s="9"/>
      <c r="T44" s="9"/>
      <c r="U44" s="9"/>
      <c r="V44" s="9"/>
      <c r="W44" s="9"/>
      <c r="X44" s="9"/>
      <c r="Y44" s="9"/>
      <c r="Z44" s="9"/>
      <c r="AA44" s="9"/>
      <c r="AB44" s="9"/>
    </row>
    <row r="45" ht="15.75" customHeight="1" spans="1:28">
      <c r="A45" s="9"/>
      <c r="B45" s="9"/>
      <c r="C45" s="9"/>
      <c r="D45" s="9"/>
      <c r="E45" s="9"/>
      <c r="F45" s="9"/>
      <c r="G45" s="36"/>
      <c r="H45" s="37"/>
      <c r="I45" s="37"/>
      <c r="J45" s="9"/>
      <c r="K45" s="9"/>
      <c r="L45" s="9"/>
      <c r="M45" s="9"/>
      <c r="N45" s="9"/>
      <c r="O45" s="9"/>
      <c r="P45" s="9"/>
      <c r="Q45" s="9"/>
      <c r="R45" s="9"/>
      <c r="S45" s="9"/>
      <c r="T45" s="9"/>
      <c r="U45" s="9"/>
      <c r="V45" s="9"/>
      <c r="W45" s="9"/>
      <c r="X45" s="9"/>
      <c r="Y45" s="9"/>
      <c r="Z45" s="9"/>
      <c r="AA45" s="9"/>
      <c r="AB45" s="9"/>
    </row>
    <row r="46" ht="15.75" customHeight="1" spans="1:28">
      <c r="A46" s="9"/>
      <c r="B46" s="9"/>
      <c r="C46" s="9"/>
      <c r="D46" s="9"/>
      <c r="E46" s="9"/>
      <c r="F46" s="9"/>
      <c r="G46" s="36"/>
      <c r="H46" s="37"/>
      <c r="I46" s="37"/>
      <c r="J46" s="9"/>
      <c r="K46" s="9"/>
      <c r="L46" s="9"/>
      <c r="M46" s="9"/>
      <c r="N46" s="9"/>
      <c r="O46" s="9"/>
      <c r="P46" s="9"/>
      <c r="Q46" s="9"/>
      <c r="R46" s="9"/>
      <c r="S46" s="9"/>
      <c r="T46" s="9"/>
      <c r="U46" s="9"/>
      <c r="V46" s="9"/>
      <c r="W46" s="9"/>
      <c r="X46" s="9"/>
      <c r="Y46" s="9"/>
      <c r="Z46" s="9"/>
      <c r="AA46" s="9"/>
      <c r="AB46" s="9"/>
    </row>
    <row r="47" ht="15.75" customHeight="1" spans="1:28">
      <c r="A47" s="9"/>
      <c r="B47" s="9"/>
      <c r="C47" s="9"/>
      <c r="D47" s="9"/>
      <c r="E47" s="9"/>
      <c r="F47" s="9"/>
      <c r="G47" s="36"/>
      <c r="H47" s="37"/>
      <c r="I47" s="37"/>
      <c r="J47" s="9"/>
      <c r="K47" s="9"/>
      <c r="L47" s="9"/>
      <c r="M47" s="9"/>
      <c r="N47" s="9"/>
      <c r="O47" s="9"/>
      <c r="P47" s="9"/>
      <c r="Q47" s="9"/>
      <c r="R47" s="9"/>
      <c r="S47" s="9"/>
      <c r="T47" s="9"/>
      <c r="U47" s="9"/>
      <c r="V47" s="9"/>
      <c r="W47" s="9"/>
      <c r="X47" s="9"/>
      <c r="Y47" s="9"/>
      <c r="Z47" s="9"/>
      <c r="AA47" s="9"/>
      <c r="AB47" s="9"/>
    </row>
    <row r="48" ht="15.75" customHeight="1" spans="1:28">
      <c r="A48" s="9"/>
      <c r="B48" s="9"/>
      <c r="C48" s="9"/>
      <c r="D48" s="9"/>
      <c r="E48" s="9"/>
      <c r="F48" s="9"/>
      <c r="G48" s="36"/>
      <c r="H48" s="37"/>
      <c r="I48" s="37"/>
      <c r="J48" s="9"/>
      <c r="K48" s="9"/>
      <c r="L48" s="9"/>
      <c r="M48" s="9"/>
      <c r="N48" s="9"/>
      <c r="O48" s="9"/>
      <c r="P48" s="9"/>
      <c r="Q48" s="9"/>
      <c r="R48" s="9"/>
      <c r="S48" s="9"/>
      <c r="T48" s="9"/>
      <c r="U48" s="9"/>
      <c r="V48" s="9"/>
      <c r="W48" s="9"/>
      <c r="X48" s="9"/>
      <c r="Y48" s="9"/>
      <c r="Z48" s="9"/>
      <c r="AA48" s="9"/>
      <c r="AB48" s="9"/>
    </row>
    <row r="49" ht="15.75" customHeight="1" spans="1:28">
      <c r="A49" s="9"/>
      <c r="B49" s="9"/>
      <c r="C49" s="9"/>
      <c r="D49" s="9"/>
      <c r="E49" s="9"/>
      <c r="F49" s="9"/>
      <c r="G49" s="36"/>
      <c r="H49" s="37"/>
      <c r="I49" s="37"/>
      <c r="J49" s="9"/>
      <c r="K49" s="9"/>
      <c r="L49" s="9"/>
      <c r="M49" s="9"/>
      <c r="N49" s="9"/>
      <c r="O49" s="9"/>
      <c r="P49" s="9"/>
      <c r="Q49" s="9"/>
      <c r="R49" s="9"/>
      <c r="S49" s="9"/>
      <c r="T49" s="9"/>
      <c r="U49" s="9"/>
      <c r="V49" s="9"/>
      <c r="W49" s="9"/>
      <c r="X49" s="9"/>
      <c r="Y49" s="9"/>
      <c r="Z49" s="9"/>
      <c r="AA49" s="9"/>
      <c r="AB49" s="9"/>
    </row>
    <row r="50" ht="15.75" customHeight="1" spans="1:28">
      <c r="A50" s="9"/>
      <c r="B50" s="9"/>
      <c r="C50" s="9"/>
      <c r="D50" s="9"/>
      <c r="E50" s="9"/>
      <c r="F50" s="9"/>
      <c r="G50" s="36"/>
      <c r="H50" s="37"/>
      <c r="I50" s="37"/>
      <c r="J50" s="9"/>
      <c r="K50" s="9"/>
      <c r="L50" s="9"/>
      <c r="M50" s="9"/>
      <c r="N50" s="9"/>
      <c r="O50" s="9"/>
      <c r="P50" s="9"/>
      <c r="Q50" s="9"/>
      <c r="R50" s="9"/>
      <c r="S50" s="9"/>
      <c r="T50" s="9"/>
      <c r="U50" s="9"/>
      <c r="V50" s="9"/>
      <c r="W50" s="9"/>
      <c r="X50" s="9"/>
      <c r="Y50" s="9"/>
      <c r="Z50" s="9"/>
      <c r="AA50" s="9"/>
      <c r="AB50" s="9"/>
    </row>
    <row r="51" ht="15.75" customHeight="1" spans="1:28">
      <c r="A51" s="9"/>
      <c r="B51" s="9"/>
      <c r="C51" s="9"/>
      <c r="D51" s="9"/>
      <c r="E51" s="9"/>
      <c r="F51" s="9"/>
      <c r="G51" s="36"/>
      <c r="H51" s="37"/>
      <c r="I51" s="37"/>
      <c r="J51" s="9"/>
      <c r="K51" s="9"/>
      <c r="L51" s="9"/>
      <c r="M51" s="9"/>
      <c r="N51" s="9"/>
      <c r="O51" s="9"/>
      <c r="P51" s="9"/>
      <c r="Q51" s="9"/>
      <c r="R51" s="9"/>
      <c r="S51" s="9"/>
      <c r="T51" s="9"/>
      <c r="U51" s="9"/>
      <c r="V51" s="9"/>
      <c r="W51" s="9"/>
      <c r="X51" s="9"/>
      <c r="Y51" s="9"/>
      <c r="Z51" s="9"/>
      <c r="AA51" s="9"/>
      <c r="AB51" s="9"/>
    </row>
    <row r="52" ht="15.75" customHeight="1" spans="1:28">
      <c r="A52" s="9"/>
      <c r="B52" s="9"/>
      <c r="C52" s="9"/>
      <c r="D52" s="9"/>
      <c r="E52" s="9"/>
      <c r="F52" s="9"/>
      <c r="G52" s="36"/>
      <c r="H52" s="37"/>
      <c r="I52" s="37"/>
      <c r="J52" s="9"/>
      <c r="K52" s="9"/>
      <c r="L52" s="9"/>
      <c r="M52" s="9"/>
      <c r="N52" s="9"/>
      <c r="O52" s="9"/>
      <c r="P52" s="9"/>
      <c r="Q52" s="9"/>
      <c r="R52" s="9"/>
      <c r="S52" s="9"/>
      <c r="T52" s="9"/>
      <c r="U52" s="9"/>
      <c r="V52" s="9"/>
      <c r="W52" s="9"/>
      <c r="X52" s="9"/>
      <c r="Y52" s="9"/>
      <c r="Z52" s="9"/>
      <c r="AA52" s="9"/>
      <c r="AB52" s="9"/>
    </row>
    <row r="53" ht="15.75" customHeight="1" spans="1:28">
      <c r="A53" s="9"/>
      <c r="B53" s="9"/>
      <c r="C53" s="9"/>
      <c r="D53" s="9"/>
      <c r="E53" s="9"/>
      <c r="F53" s="9"/>
      <c r="G53" s="36"/>
      <c r="H53" s="37"/>
      <c r="I53" s="37"/>
      <c r="J53" s="9"/>
      <c r="K53" s="9"/>
      <c r="L53" s="9"/>
      <c r="M53" s="9"/>
      <c r="N53" s="9"/>
      <c r="O53" s="9"/>
      <c r="P53" s="9"/>
      <c r="Q53" s="9"/>
      <c r="R53" s="9"/>
      <c r="S53" s="9"/>
      <c r="T53" s="9"/>
      <c r="U53" s="9"/>
      <c r="V53" s="9"/>
      <c r="W53" s="9"/>
      <c r="X53" s="9"/>
      <c r="Y53" s="9"/>
      <c r="Z53" s="9"/>
      <c r="AA53" s="9"/>
      <c r="AB53" s="9"/>
    </row>
    <row r="54" ht="15.75" customHeight="1" spans="1:28">
      <c r="A54" s="9"/>
      <c r="B54" s="9"/>
      <c r="C54" s="9"/>
      <c r="D54" s="9"/>
      <c r="E54" s="9"/>
      <c r="F54" s="9"/>
      <c r="G54" s="36"/>
      <c r="H54" s="37"/>
      <c r="I54" s="37"/>
      <c r="J54" s="9"/>
      <c r="K54" s="9"/>
      <c r="L54" s="9"/>
      <c r="M54" s="9"/>
      <c r="N54" s="9"/>
      <c r="O54" s="9"/>
      <c r="P54" s="9"/>
      <c r="Q54" s="9"/>
      <c r="R54" s="9"/>
      <c r="S54" s="9"/>
      <c r="T54" s="9"/>
      <c r="U54" s="9"/>
      <c r="V54" s="9"/>
      <c r="W54" s="9"/>
      <c r="X54" s="9"/>
      <c r="Y54" s="9"/>
      <c r="Z54" s="9"/>
      <c r="AA54" s="9"/>
      <c r="AB54" s="9"/>
    </row>
    <row r="55" ht="15.75" customHeight="1" spans="1:28">
      <c r="A55" s="9"/>
      <c r="B55" s="9"/>
      <c r="C55" s="9"/>
      <c r="D55" s="9"/>
      <c r="E55" s="9"/>
      <c r="F55" s="9"/>
      <c r="G55" s="36"/>
      <c r="H55" s="37"/>
      <c r="I55" s="37"/>
      <c r="J55" s="9"/>
      <c r="K55" s="9"/>
      <c r="L55" s="9"/>
      <c r="M55" s="9"/>
      <c r="N55" s="9"/>
      <c r="O55" s="9"/>
      <c r="P55" s="9"/>
      <c r="Q55" s="9"/>
      <c r="R55" s="9"/>
      <c r="S55" s="9"/>
      <c r="T55" s="9"/>
      <c r="U55" s="9"/>
      <c r="V55" s="9"/>
      <c r="W55" s="9"/>
      <c r="X55" s="9"/>
      <c r="Y55" s="9"/>
      <c r="Z55" s="9"/>
      <c r="AA55" s="9"/>
      <c r="AB55" s="9"/>
    </row>
    <row r="56" ht="15.75" customHeight="1" spans="1:28">
      <c r="A56" s="9"/>
      <c r="B56" s="9"/>
      <c r="C56" s="9"/>
      <c r="D56" s="9"/>
      <c r="E56" s="9"/>
      <c r="F56" s="9"/>
      <c r="G56" s="36"/>
      <c r="H56" s="37"/>
      <c r="I56" s="37"/>
      <c r="J56" s="9"/>
      <c r="K56" s="9"/>
      <c r="L56" s="9"/>
      <c r="M56" s="9"/>
      <c r="N56" s="9"/>
      <c r="O56" s="9"/>
      <c r="P56" s="9"/>
      <c r="Q56" s="9"/>
      <c r="R56" s="9"/>
      <c r="S56" s="9"/>
      <c r="T56" s="9"/>
      <c r="U56" s="9"/>
      <c r="V56" s="9"/>
      <c r="W56" s="9"/>
      <c r="X56" s="9"/>
      <c r="Y56" s="9"/>
      <c r="Z56" s="9"/>
      <c r="AA56" s="9"/>
      <c r="AB56" s="9"/>
    </row>
    <row r="57" ht="15.75" customHeight="1" spans="1:28">
      <c r="A57" s="9"/>
      <c r="B57" s="9"/>
      <c r="C57" s="9"/>
      <c r="D57" s="9"/>
      <c r="E57" s="9"/>
      <c r="F57" s="9"/>
      <c r="G57" s="36"/>
      <c r="H57" s="37"/>
      <c r="I57" s="37"/>
      <c r="J57" s="9"/>
      <c r="K57" s="9"/>
      <c r="L57" s="9"/>
      <c r="M57" s="9"/>
      <c r="N57" s="9"/>
      <c r="O57" s="9"/>
      <c r="P57" s="9"/>
      <c r="Q57" s="9"/>
      <c r="R57" s="9"/>
      <c r="S57" s="9"/>
      <c r="T57" s="9"/>
      <c r="U57" s="9"/>
      <c r="V57" s="9"/>
      <c r="W57" s="9"/>
      <c r="X57" s="9"/>
      <c r="Y57" s="9"/>
      <c r="Z57" s="9"/>
      <c r="AA57" s="9"/>
      <c r="AB57" s="9"/>
    </row>
    <row r="58" ht="15.75" customHeight="1" spans="1:28">
      <c r="A58" s="9"/>
      <c r="B58" s="9"/>
      <c r="C58" s="9"/>
      <c r="D58" s="9"/>
      <c r="E58" s="9"/>
      <c r="F58" s="9"/>
      <c r="G58" s="36"/>
      <c r="H58" s="37"/>
      <c r="I58" s="37"/>
      <c r="J58" s="9"/>
      <c r="K58" s="9"/>
      <c r="L58" s="9"/>
      <c r="M58" s="9"/>
      <c r="N58" s="9"/>
      <c r="O58" s="9"/>
      <c r="P58" s="9"/>
      <c r="Q58" s="9"/>
      <c r="R58" s="9"/>
      <c r="S58" s="9"/>
      <c r="T58" s="9"/>
      <c r="U58" s="9"/>
      <c r="V58" s="9"/>
      <c r="W58" s="9"/>
      <c r="X58" s="9"/>
      <c r="Y58" s="9"/>
      <c r="Z58" s="9"/>
      <c r="AA58" s="9"/>
      <c r="AB58" s="9"/>
    </row>
    <row r="59" ht="15.75" customHeight="1" spans="1:28">
      <c r="A59" s="9"/>
      <c r="B59" s="9"/>
      <c r="C59" s="9"/>
      <c r="D59" s="9"/>
      <c r="E59" s="9"/>
      <c r="F59" s="9"/>
      <c r="G59" s="36"/>
      <c r="H59" s="37"/>
      <c r="I59" s="37"/>
      <c r="J59" s="9"/>
      <c r="K59" s="9"/>
      <c r="L59" s="9"/>
      <c r="M59" s="9"/>
      <c r="N59" s="9"/>
      <c r="O59" s="9"/>
      <c r="P59" s="9"/>
      <c r="Q59" s="9"/>
      <c r="R59" s="9"/>
      <c r="S59" s="9"/>
      <c r="T59" s="9"/>
      <c r="U59" s="9"/>
      <c r="V59" s="9"/>
      <c r="W59" s="9"/>
      <c r="X59" s="9"/>
      <c r="Y59" s="9"/>
      <c r="Z59" s="9"/>
      <c r="AA59" s="9"/>
      <c r="AB59" s="9"/>
    </row>
    <row r="60" ht="15.75" customHeight="1" spans="1:28">
      <c r="A60" s="9"/>
      <c r="B60" s="9"/>
      <c r="C60" s="9"/>
      <c r="D60" s="9"/>
      <c r="E60" s="9"/>
      <c r="F60" s="9"/>
      <c r="G60" s="36"/>
      <c r="H60" s="37"/>
      <c r="I60" s="37"/>
      <c r="J60" s="9"/>
      <c r="K60" s="9"/>
      <c r="L60" s="9"/>
      <c r="M60" s="9"/>
      <c r="N60" s="9"/>
      <c r="O60" s="9"/>
      <c r="P60" s="9"/>
      <c r="Q60" s="9"/>
      <c r="R60" s="9"/>
      <c r="S60" s="9"/>
      <c r="T60" s="9"/>
      <c r="U60" s="9"/>
      <c r="V60" s="9"/>
      <c r="W60" s="9"/>
      <c r="X60" s="9"/>
      <c r="Y60" s="9"/>
      <c r="Z60" s="9"/>
      <c r="AA60" s="9"/>
      <c r="AB60" s="9"/>
    </row>
    <row r="61" ht="15.75" customHeight="1" spans="1:28">
      <c r="A61" s="9"/>
      <c r="B61" s="9"/>
      <c r="C61" s="9"/>
      <c r="D61" s="9"/>
      <c r="E61" s="9"/>
      <c r="F61" s="9"/>
      <c r="G61" s="36"/>
      <c r="H61" s="37"/>
      <c r="I61" s="37"/>
      <c r="J61" s="9"/>
      <c r="K61" s="9"/>
      <c r="L61" s="9"/>
      <c r="M61" s="9"/>
      <c r="N61" s="9"/>
      <c r="O61" s="9"/>
      <c r="P61" s="9"/>
      <c r="Q61" s="9"/>
      <c r="R61" s="9"/>
      <c r="S61" s="9"/>
      <c r="T61" s="9"/>
      <c r="U61" s="9"/>
      <c r="V61" s="9"/>
      <c r="W61" s="9"/>
      <c r="X61" s="9"/>
      <c r="Y61" s="9"/>
      <c r="Z61" s="9"/>
      <c r="AA61" s="9"/>
      <c r="AB61" s="9"/>
    </row>
    <row r="62" ht="15.75" customHeight="1" spans="1:28">
      <c r="A62" s="9"/>
      <c r="B62" s="9"/>
      <c r="C62" s="9"/>
      <c r="D62" s="9"/>
      <c r="E62" s="9"/>
      <c r="F62" s="9"/>
      <c r="G62" s="36"/>
      <c r="H62" s="37"/>
      <c r="I62" s="37"/>
      <c r="J62" s="9"/>
      <c r="K62" s="9"/>
      <c r="L62" s="9"/>
      <c r="M62" s="9"/>
      <c r="N62" s="9"/>
      <c r="O62" s="9"/>
      <c r="P62" s="9"/>
      <c r="Q62" s="9"/>
      <c r="R62" s="9"/>
      <c r="S62" s="9"/>
      <c r="T62" s="9"/>
      <c r="U62" s="9"/>
      <c r="V62" s="9"/>
      <c r="W62" s="9"/>
      <c r="X62" s="9"/>
      <c r="Y62" s="9"/>
      <c r="Z62" s="9"/>
      <c r="AA62" s="9"/>
      <c r="AB62" s="9"/>
    </row>
    <row r="63" ht="15.75" customHeight="1" spans="1:28">
      <c r="A63" s="9"/>
      <c r="B63" s="9"/>
      <c r="C63" s="9"/>
      <c r="D63" s="9"/>
      <c r="E63" s="9"/>
      <c r="F63" s="9"/>
      <c r="G63" s="36"/>
      <c r="H63" s="37"/>
      <c r="I63" s="37"/>
      <c r="J63" s="9"/>
      <c r="K63" s="9"/>
      <c r="L63" s="9"/>
      <c r="M63" s="9"/>
      <c r="N63" s="9"/>
      <c r="O63" s="9"/>
      <c r="P63" s="9"/>
      <c r="Q63" s="9"/>
      <c r="R63" s="9"/>
      <c r="S63" s="9"/>
      <c r="T63" s="9"/>
      <c r="U63" s="9"/>
      <c r="V63" s="9"/>
      <c r="W63" s="9"/>
      <c r="X63" s="9"/>
      <c r="Y63" s="9"/>
      <c r="Z63" s="9"/>
      <c r="AA63" s="9"/>
      <c r="AB63" s="9"/>
    </row>
    <row r="64" ht="15.75" customHeight="1" spans="1:28">
      <c r="A64" s="9"/>
      <c r="B64" s="9"/>
      <c r="C64" s="9"/>
      <c r="D64" s="9"/>
      <c r="E64" s="9"/>
      <c r="F64" s="9"/>
      <c r="G64" s="36"/>
      <c r="H64" s="37"/>
      <c r="I64" s="37"/>
      <c r="J64" s="9"/>
      <c r="K64" s="9"/>
      <c r="L64" s="9"/>
      <c r="M64" s="9"/>
      <c r="N64" s="9"/>
      <c r="O64" s="9"/>
      <c r="P64" s="9"/>
      <c r="Q64" s="9"/>
      <c r="R64" s="9"/>
      <c r="S64" s="9"/>
      <c r="T64" s="9"/>
      <c r="U64" s="9"/>
      <c r="V64" s="9"/>
      <c r="W64" s="9"/>
      <c r="X64" s="9"/>
      <c r="Y64" s="9"/>
      <c r="Z64" s="9"/>
      <c r="AA64" s="9"/>
      <c r="AB64" s="9"/>
    </row>
    <row r="65" ht="15.75" customHeight="1" spans="1:28">
      <c r="A65" s="9"/>
      <c r="B65" s="9"/>
      <c r="C65" s="9"/>
      <c r="D65" s="9"/>
      <c r="E65" s="9"/>
      <c r="F65" s="9"/>
      <c r="G65" s="36"/>
      <c r="H65" s="37"/>
      <c r="I65" s="37"/>
      <c r="J65" s="9"/>
      <c r="K65" s="9"/>
      <c r="L65" s="9"/>
      <c r="M65" s="9"/>
      <c r="N65" s="9"/>
      <c r="O65" s="9"/>
      <c r="P65" s="9"/>
      <c r="Q65" s="9"/>
      <c r="R65" s="9"/>
      <c r="S65" s="9"/>
      <c r="T65" s="9"/>
      <c r="U65" s="9"/>
      <c r="V65" s="9"/>
      <c r="W65" s="9"/>
      <c r="X65" s="9"/>
      <c r="Y65" s="9"/>
      <c r="Z65" s="9"/>
      <c r="AA65" s="9"/>
      <c r="AB65" s="9"/>
    </row>
    <row r="66" ht="15.75" customHeight="1" spans="1:28">
      <c r="A66" s="9"/>
      <c r="B66" s="9"/>
      <c r="C66" s="9"/>
      <c r="D66" s="9"/>
      <c r="E66" s="9"/>
      <c r="F66" s="9"/>
      <c r="G66" s="36"/>
      <c r="H66" s="37"/>
      <c r="I66" s="37"/>
      <c r="J66" s="9"/>
      <c r="K66" s="9"/>
      <c r="L66" s="9"/>
      <c r="M66" s="9"/>
      <c r="N66" s="9"/>
      <c r="O66" s="9"/>
      <c r="P66" s="9"/>
      <c r="Q66" s="9"/>
      <c r="R66" s="9"/>
      <c r="S66" s="9"/>
      <c r="T66" s="9"/>
      <c r="U66" s="9"/>
      <c r="V66" s="9"/>
      <c r="W66" s="9"/>
      <c r="X66" s="9"/>
      <c r="Y66" s="9"/>
      <c r="Z66" s="9"/>
      <c r="AA66" s="9"/>
      <c r="AB66" s="9"/>
    </row>
    <row r="67" ht="15.75" customHeight="1" spans="1:28">
      <c r="A67" s="9"/>
      <c r="B67" s="9"/>
      <c r="C67" s="9"/>
      <c r="D67" s="9"/>
      <c r="E67" s="9"/>
      <c r="F67" s="9"/>
      <c r="G67" s="36"/>
      <c r="H67" s="37"/>
      <c r="I67" s="37"/>
      <c r="J67" s="9"/>
      <c r="K67" s="9"/>
      <c r="L67" s="9"/>
      <c r="M67" s="9"/>
      <c r="N67" s="9"/>
      <c r="O67" s="9"/>
      <c r="P67" s="9"/>
      <c r="Q67" s="9"/>
      <c r="R67" s="9"/>
      <c r="S67" s="9"/>
      <c r="T67" s="9"/>
      <c r="U67" s="9"/>
      <c r="V67" s="9"/>
      <c r="W67" s="9"/>
      <c r="X67" s="9"/>
      <c r="Y67" s="9"/>
      <c r="Z67" s="9"/>
      <c r="AA67" s="9"/>
      <c r="AB67" s="9"/>
    </row>
    <row r="68" ht="15.75" customHeight="1" spans="1:28">
      <c r="A68" s="9"/>
      <c r="B68" s="9"/>
      <c r="C68" s="9"/>
      <c r="D68" s="9"/>
      <c r="E68" s="9"/>
      <c r="F68" s="9"/>
      <c r="G68" s="36"/>
      <c r="H68" s="37"/>
      <c r="I68" s="37"/>
      <c r="J68" s="9"/>
      <c r="K68" s="9"/>
      <c r="L68" s="9"/>
      <c r="M68" s="9"/>
      <c r="N68" s="9"/>
      <c r="O68" s="9"/>
      <c r="P68" s="9"/>
      <c r="Q68" s="9"/>
      <c r="R68" s="9"/>
      <c r="S68" s="9"/>
      <c r="T68" s="9"/>
      <c r="U68" s="9"/>
      <c r="V68" s="9"/>
      <c r="W68" s="9"/>
      <c r="X68" s="9"/>
      <c r="Y68" s="9"/>
      <c r="Z68" s="9"/>
      <c r="AA68" s="9"/>
      <c r="AB68" s="9"/>
    </row>
    <row r="69" ht="15.75" customHeight="1" spans="1:28">
      <c r="A69" s="9"/>
      <c r="B69" s="9"/>
      <c r="C69" s="9"/>
      <c r="D69" s="9"/>
      <c r="E69" s="9"/>
      <c r="F69" s="9"/>
      <c r="G69" s="36"/>
      <c r="H69" s="37"/>
      <c r="I69" s="37"/>
      <c r="J69" s="9"/>
      <c r="K69" s="9"/>
      <c r="L69" s="9"/>
      <c r="M69" s="9"/>
      <c r="N69" s="9"/>
      <c r="O69" s="9"/>
      <c r="P69" s="9"/>
      <c r="Q69" s="9"/>
      <c r="R69" s="9"/>
      <c r="S69" s="9"/>
      <c r="T69" s="9"/>
      <c r="U69" s="9"/>
      <c r="V69" s="9"/>
      <c r="W69" s="9"/>
      <c r="X69" s="9"/>
      <c r="Y69" s="9"/>
      <c r="Z69" s="9"/>
      <c r="AA69" s="9"/>
      <c r="AB69" s="9"/>
    </row>
    <row r="70" ht="15.75" customHeight="1" spans="1:28">
      <c r="A70" s="9"/>
      <c r="B70" s="9"/>
      <c r="C70" s="9"/>
      <c r="D70" s="9"/>
      <c r="E70" s="9"/>
      <c r="F70" s="9"/>
      <c r="G70" s="36"/>
      <c r="H70" s="37"/>
      <c r="I70" s="37"/>
      <c r="J70" s="9"/>
      <c r="K70" s="9"/>
      <c r="L70" s="9"/>
      <c r="M70" s="9"/>
      <c r="N70" s="9"/>
      <c r="O70" s="9"/>
      <c r="P70" s="9"/>
      <c r="Q70" s="9"/>
      <c r="R70" s="9"/>
      <c r="S70" s="9"/>
      <c r="T70" s="9"/>
      <c r="U70" s="9"/>
      <c r="V70" s="9"/>
      <c r="W70" s="9"/>
      <c r="X70" s="9"/>
      <c r="Y70" s="9"/>
      <c r="Z70" s="9"/>
      <c r="AA70" s="9"/>
      <c r="AB70" s="9"/>
    </row>
    <row r="71" ht="15.75" customHeight="1" spans="1:28">
      <c r="A71" s="9"/>
      <c r="B71" s="9"/>
      <c r="C71" s="9"/>
      <c r="D71" s="9"/>
      <c r="E71" s="9"/>
      <c r="F71" s="9"/>
      <c r="G71" s="36"/>
      <c r="H71" s="37"/>
      <c r="I71" s="37"/>
      <c r="J71" s="9"/>
      <c r="K71" s="9"/>
      <c r="L71" s="9"/>
      <c r="M71" s="9"/>
      <c r="N71" s="9"/>
      <c r="O71" s="9"/>
      <c r="P71" s="9"/>
      <c r="Q71" s="9"/>
      <c r="R71" s="9"/>
      <c r="S71" s="9"/>
      <c r="T71" s="9"/>
      <c r="U71" s="9"/>
      <c r="V71" s="9"/>
      <c r="W71" s="9"/>
      <c r="X71" s="9"/>
      <c r="Y71" s="9"/>
      <c r="Z71" s="9"/>
      <c r="AA71" s="9"/>
      <c r="AB71" s="9"/>
    </row>
    <row r="72" ht="15.75" customHeight="1" spans="1:28">
      <c r="A72" s="9"/>
      <c r="B72" s="9"/>
      <c r="C72" s="9"/>
      <c r="D72" s="9"/>
      <c r="E72" s="9"/>
      <c r="F72" s="9"/>
      <c r="G72" s="36"/>
      <c r="H72" s="37"/>
      <c r="I72" s="37"/>
      <c r="J72" s="9"/>
      <c r="K72" s="9"/>
      <c r="L72" s="9"/>
      <c r="M72" s="9"/>
      <c r="N72" s="9"/>
      <c r="O72" s="9"/>
      <c r="P72" s="9"/>
      <c r="Q72" s="9"/>
      <c r="R72" s="9"/>
      <c r="S72" s="9"/>
      <c r="T72" s="9"/>
      <c r="U72" s="9"/>
      <c r="V72" s="9"/>
      <c r="W72" s="9"/>
      <c r="X72" s="9"/>
      <c r="Y72" s="9"/>
      <c r="Z72" s="9"/>
      <c r="AA72" s="9"/>
      <c r="AB72" s="9"/>
    </row>
    <row r="73" ht="15.75" customHeight="1" spans="1:28">
      <c r="A73" s="9"/>
      <c r="B73" s="9"/>
      <c r="C73" s="9"/>
      <c r="D73" s="9"/>
      <c r="E73" s="9"/>
      <c r="F73" s="9"/>
      <c r="G73" s="36"/>
      <c r="H73" s="37"/>
      <c r="I73" s="37"/>
      <c r="J73" s="9"/>
      <c r="K73" s="9"/>
      <c r="L73" s="9"/>
      <c r="M73" s="9"/>
      <c r="N73" s="9"/>
      <c r="O73" s="9"/>
      <c r="P73" s="9"/>
      <c r="Q73" s="9"/>
      <c r="R73" s="9"/>
      <c r="S73" s="9"/>
      <c r="T73" s="9"/>
      <c r="U73" s="9"/>
      <c r="V73" s="9"/>
      <c r="W73" s="9"/>
      <c r="X73" s="9"/>
      <c r="Y73" s="9"/>
      <c r="Z73" s="9"/>
      <c r="AA73" s="9"/>
      <c r="AB73" s="9"/>
    </row>
    <row r="74" ht="15.75" customHeight="1" spans="1:28">
      <c r="A74" s="9"/>
      <c r="B74" s="9"/>
      <c r="C74" s="9"/>
      <c r="D74" s="9"/>
      <c r="E74" s="9"/>
      <c r="F74" s="9"/>
      <c r="G74" s="36"/>
      <c r="H74" s="37"/>
      <c r="I74" s="37"/>
      <c r="J74" s="9"/>
      <c r="K74" s="9"/>
      <c r="L74" s="9"/>
      <c r="M74" s="9"/>
      <c r="N74" s="9"/>
      <c r="O74" s="9"/>
      <c r="P74" s="9"/>
      <c r="Q74" s="9"/>
      <c r="R74" s="9"/>
      <c r="S74" s="9"/>
      <c r="T74" s="9"/>
      <c r="U74" s="9"/>
      <c r="V74" s="9"/>
      <c r="W74" s="9"/>
      <c r="X74" s="9"/>
      <c r="Y74" s="9"/>
      <c r="Z74" s="9"/>
      <c r="AA74" s="9"/>
      <c r="AB74" s="9"/>
    </row>
    <row r="75" ht="15.75" customHeight="1" spans="1:28">
      <c r="A75" s="9"/>
      <c r="B75" s="9"/>
      <c r="C75" s="9"/>
      <c r="D75" s="9"/>
      <c r="E75" s="9"/>
      <c r="F75" s="9"/>
      <c r="G75" s="36"/>
      <c r="H75" s="37"/>
      <c r="I75" s="37"/>
      <c r="J75" s="9"/>
      <c r="K75" s="9"/>
      <c r="L75" s="9"/>
      <c r="M75" s="9"/>
      <c r="N75" s="9"/>
      <c r="O75" s="9"/>
      <c r="P75" s="9"/>
      <c r="Q75" s="9"/>
      <c r="R75" s="9"/>
      <c r="S75" s="9"/>
      <c r="T75" s="9"/>
      <c r="U75" s="9"/>
      <c r="V75" s="9"/>
      <c r="W75" s="9"/>
      <c r="X75" s="9"/>
      <c r="Y75" s="9"/>
      <c r="Z75" s="9"/>
      <c r="AA75" s="9"/>
      <c r="AB75" s="9"/>
    </row>
    <row r="76" ht="15.75" customHeight="1" spans="1:28">
      <c r="A76" s="9"/>
      <c r="B76" s="9"/>
      <c r="C76" s="9"/>
      <c r="D76" s="9"/>
      <c r="E76" s="9"/>
      <c r="F76" s="9"/>
      <c r="G76" s="36"/>
      <c r="H76" s="37"/>
      <c r="I76" s="37"/>
      <c r="J76" s="9"/>
      <c r="K76" s="9"/>
      <c r="L76" s="9"/>
      <c r="M76" s="9"/>
      <c r="N76" s="9"/>
      <c r="O76" s="9"/>
      <c r="P76" s="9"/>
      <c r="Q76" s="9"/>
      <c r="R76" s="9"/>
      <c r="S76" s="9"/>
      <c r="T76" s="9"/>
      <c r="U76" s="9"/>
      <c r="V76" s="9"/>
      <c r="W76" s="9"/>
      <c r="X76" s="9"/>
      <c r="Y76" s="9"/>
      <c r="Z76" s="9"/>
      <c r="AA76" s="9"/>
      <c r="AB76" s="9"/>
    </row>
    <row r="77" ht="15.75" customHeight="1" spans="1:28">
      <c r="A77" s="9"/>
      <c r="B77" s="9"/>
      <c r="C77" s="9"/>
      <c r="D77" s="9"/>
      <c r="E77" s="9"/>
      <c r="F77" s="9"/>
      <c r="G77" s="36"/>
      <c r="H77" s="37"/>
      <c r="I77" s="37"/>
      <c r="J77" s="9"/>
      <c r="K77" s="9"/>
      <c r="L77" s="9"/>
      <c r="M77" s="9"/>
      <c r="N77" s="9"/>
      <c r="O77" s="9"/>
      <c r="P77" s="9"/>
      <c r="Q77" s="9"/>
      <c r="R77" s="9"/>
      <c r="S77" s="9"/>
      <c r="T77" s="9"/>
      <c r="U77" s="9"/>
      <c r="V77" s="9"/>
      <c r="W77" s="9"/>
      <c r="X77" s="9"/>
      <c r="Y77" s="9"/>
      <c r="Z77" s="9"/>
      <c r="AA77" s="9"/>
      <c r="AB77" s="9"/>
    </row>
    <row r="78" ht="15.75" customHeight="1" spans="1:28">
      <c r="A78" s="9"/>
      <c r="B78" s="9"/>
      <c r="C78" s="9"/>
      <c r="D78" s="9"/>
      <c r="E78" s="9"/>
      <c r="F78" s="9"/>
      <c r="G78" s="36"/>
      <c r="H78" s="37"/>
      <c r="I78" s="37"/>
      <c r="J78" s="9"/>
      <c r="K78" s="9"/>
      <c r="L78" s="9"/>
      <c r="M78" s="9"/>
      <c r="N78" s="9"/>
      <c r="O78" s="9"/>
      <c r="P78" s="9"/>
      <c r="Q78" s="9"/>
      <c r="R78" s="9"/>
      <c r="S78" s="9"/>
      <c r="T78" s="9"/>
      <c r="U78" s="9"/>
      <c r="V78" s="9"/>
      <c r="W78" s="9"/>
      <c r="X78" s="9"/>
      <c r="Y78" s="9"/>
      <c r="Z78" s="9"/>
      <c r="AA78" s="9"/>
      <c r="AB78" s="9"/>
    </row>
    <row r="79" ht="15.75" customHeight="1" spans="1:28">
      <c r="A79" s="9"/>
      <c r="B79" s="9"/>
      <c r="C79" s="9"/>
      <c r="D79" s="9"/>
      <c r="E79" s="9"/>
      <c r="F79" s="9"/>
      <c r="G79" s="36"/>
      <c r="H79" s="37"/>
      <c r="I79" s="37"/>
      <c r="J79" s="9"/>
      <c r="K79" s="9"/>
      <c r="L79" s="9"/>
      <c r="M79" s="9"/>
      <c r="N79" s="9"/>
      <c r="O79" s="9"/>
      <c r="P79" s="9"/>
      <c r="Q79" s="9"/>
      <c r="R79" s="9"/>
      <c r="S79" s="9"/>
      <c r="T79" s="9"/>
      <c r="U79" s="9"/>
      <c r="V79" s="9"/>
      <c r="W79" s="9"/>
      <c r="X79" s="9"/>
      <c r="Y79" s="9"/>
      <c r="Z79" s="9"/>
      <c r="AA79" s="9"/>
      <c r="AB79" s="9"/>
    </row>
    <row r="80" ht="15.75" customHeight="1" spans="1:28">
      <c r="A80" s="9"/>
      <c r="B80" s="9"/>
      <c r="C80" s="9"/>
      <c r="D80" s="9"/>
      <c r="E80" s="9"/>
      <c r="F80" s="9"/>
      <c r="G80" s="36"/>
      <c r="H80" s="37"/>
      <c r="I80" s="37"/>
      <c r="J80" s="9"/>
      <c r="K80" s="9"/>
      <c r="L80" s="9"/>
      <c r="M80" s="9"/>
      <c r="N80" s="9"/>
      <c r="O80" s="9"/>
      <c r="P80" s="9"/>
      <c r="Q80" s="9"/>
      <c r="R80" s="9"/>
      <c r="S80" s="9"/>
      <c r="T80" s="9"/>
      <c r="U80" s="9"/>
      <c r="V80" s="9"/>
      <c r="W80" s="9"/>
      <c r="X80" s="9"/>
      <c r="Y80" s="9"/>
      <c r="Z80" s="9"/>
      <c r="AA80" s="9"/>
      <c r="AB80" s="9"/>
    </row>
    <row r="81" ht="15.75" customHeight="1" spans="1:28">
      <c r="A81" s="9"/>
      <c r="B81" s="9"/>
      <c r="C81" s="9"/>
      <c r="D81" s="9"/>
      <c r="E81" s="9"/>
      <c r="F81" s="9"/>
      <c r="G81" s="36"/>
      <c r="H81" s="37"/>
      <c r="I81" s="37"/>
      <c r="J81" s="9"/>
      <c r="K81" s="9"/>
      <c r="L81" s="9"/>
      <c r="M81" s="9"/>
      <c r="N81" s="9"/>
      <c r="O81" s="9"/>
      <c r="P81" s="9"/>
      <c r="Q81" s="9"/>
      <c r="R81" s="9"/>
      <c r="S81" s="9"/>
      <c r="T81" s="9"/>
      <c r="U81" s="9"/>
      <c r="V81" s="9"/>
      <c r="W81" s="9"/>
      <c r="X81" s="9"/>
      <c r="Y81" s="9"/>
      <c r="Z81" s="9"/>
      <c r="AA81" s="9"/>
      <c r="AB81" s="9"/>
    </row>
    <row r="82" ht="15.75" customHeight="1" spans="1:28">
      <c r="A82" s="9"/>
      <c r="B82" s="9"/>
      <c r="C82" s="9"/>
      <c r="D82" s="9"/>
      <c r="E82" s="9"/>
      <c r="F82" s="9"/>
      <c r="G82" s="36"/>
      <c r="H82" s="37"/>
      <c r="I82" s="37"/>
      <c r="J82" s="9"/>
      <c r="K82" s="9"/>
      <c r="L82" s="9"/>
      <c r="M82" s="9"/>
      <c r="N82" s="9"/>
      <c r="O82" s="9"/>
      <c r="P82" s="9"/>
      <c r="Q82" s="9"/>
      <c r="R82" s="9"/>
      <c r="S82" s="9"/>
      <c r="T82" s="9"/>
      <c r="U82" s="9"/>
      <c r="V82" s="9"/>
      <c r="W82" s="9"/>
      <c r="X82" s="9"/>
      <c r="Y82" s="9"/>
      <c r="Z82" s="9"/>
      <c r="AA82" s="9"/>
      <c r="AB82" s="9"/>
    </row>
    <row r="83" ht="15.75" customHeight="1" spans="1:28">
      <c r="A83" s="9"/>
      <c r="B83" s="9"/>
      <c r="C83" s="9"/>
      <c r="D83" s="9"/>
      <c r="E83" s="9"/>
      <c r="F83" s="9"/>
      <c r="G83" s="36"/>
      <c r="H83" s="37"/>
      <c r="I83" s="37"/>
      <c r="J83" s="9"/>
      <c r="K83" s="9"/>
      <c r="L83" s="9"/>
      <c r="M83" s="9"/>
      <c r="N83" s="9"/>
      <c r="O83" s="9"/>
      <c r="P83" s="9"/>
      <c r="Q83" s="9"/>
      <c r="R83" s="9"/>
      <c r="S83" s="9"/>
      <c r="T83" s="9"/>
      <c r="U83" s="9"/>
      <c r="V83" s="9"/>
      <c r="W83" s="9"/>
      <c r="X83" s="9"/>
      <c r="Y83" s="9"/>
      <c r="Z83" s="9"/>
      <c r="AA83" s="9"/>
      <c r="AB83" s="9"/>
    </row>
    <row r="84" ht="15.75" customHeight="1" spans="1:28">
      <c r="A84" s="9"/>
      <c r="B84" s="9"/>
      <c r="C84" s="9"/>
      <c r="D84" s="9"/>
      <c r="E84" s="9"/>
      <c r="F84" s="9"/>
      <c r="G84" s="36"/>
      <c r="H84" s="37"/>
      <c r="I84" s="37"/>
      <c r="J84" s="9"/>
      <c r="K84" s="9"/>
      <c r="L84" s="9"/>
      <c r="M84" s="9"/>
      <c r="N84" s="9"/>
      <c r="O84" s="9"/>
      <c r="P84" s="9"/>
      <c r="Q84" s="9"/>
      <c r="R84" s="9"/>
      <c r="S84" s="9"/>
      <c r="T84" s="9"/>
      <c r="U84" s="9"/>
      <c r="V84" s="9"/>
      <c r="W84" s="9"/>
      <c r="X84" s="9"/>
      <c r="Y84" s="9"/>
      <c r="Z84" s="9"/>
      <c r="AA84" s="9"/>
      <c r="AB84" s="9"/>
    </row>
    <row r="85" ht="15.75" customHeight="1" spans="1:28">
      <c r="A85" s="9"/>
      <c r="B85" s="9"/>
      <c r="C85" s="9"/>
      <c r="D85" s="9"/>
      <c r="E85" s="9"/>
      <c r="F85" s="9"/>
      <c r="G85" s="36"/>
      <c r="H85" s="37"/>
      <c r="I85" s="37"/>
      <c r="J85" s="9"/>
      <c r="K85" s="9"/>
      <c r="L85" s="9"/>
      <c r="M85" s="9"/>
      <c r="N85" s="9"/>
      <c r="O85" s="9"/>
      <c r="P85" s="9"/>
      <c r="Q85" s="9"/>
      <c r="R85" s="9"/>
      <c r="S85" s="9"/>
      <c r="T85" s="9"/>
      <c r="U85" s="9"/>
      <c r="V85" s="9"/>
      <c r="W85" s="9"/>
      <c r="X85" s="9"/>
      <c r="Y85" s="9"/>
      <c r="Z85" s="9"/>
      <c r="AA85" s="9"/>
      <c r="AB85" s="9"/>
    </row>
    <row r="86" ht="15.75" customHeight="1" spans="1:28">
      <c r="A86" s="9"/>
      <c r="B86" s="9"/>
      <c r="C86" s="9"/>
      <c r="D86" s="9"/>
      <c r="E86" s="9"/>
      <c r="F86" s="9"/>
      <c r="G86" s="36"/>
      <c r="H86" s="37"/>
      <c r="I86" s="37"/>
      <c r="J86" s="9"/>
      <c r="K86" s="9"/>
      <c r="L86" s="9"/>
      <c r="M86" s="9"/>
      <c r="N86" s="9"/>
      <c r="O86" s="9"/>
      <c r="P86" s="9"/>
      <c r="Q86" s="9"/>
      <c r="R86" s="9"/>
      <c r="S86" s="9"/>
      <c r="T86" s="9"/>
      <c r="U86" s="9"/>
      <c r="V86" s="9"/>
      <c r="W86" s="9"/>
      <c r="X86" s="9"/>
      <c r="Y86" s="9"/>
      <c r="Z86" s="9"/>
      <c r="AA86" s="9"/>
      <c r="AB86" s="9"/>
    </row>
    <row r="87" ht="15.75" customHeight="1" spans="1:28">
      <c r="A87" s="9"/>
      <c r="B87" s="9"/>
      <c r="C87" s="9"/>
      <c r="D87" s="9"/>
      <c r="E87" s="9"/>
      <c r="F87" s="9"/>
      <c r="G87" s="36"/>
      <c r="H87" s="37"/>
      <c r="I87" s="37"/>
      <c r="J87" s="9"/>
      <c r="K87" s="9"/>
      <c r="L87" s="9"/>
      <c r="M87" s="9"/>
      <c r="N87" s="9"/>
      <c r="O87" s="9"/>
      <c r="P87" s="9"/>
      <c r="Q87" s="9"/>
      <c r="R87" s="9"/>
      <c r="S87" s="9"/>
      <c r="T87" s="9"/>
      <c r="U87" s="9"/>
      <c r="V87" s="9"/>
      <c r="W87" s="9"/>
      <c r="X87" s="9"/>
      <c r="Y87" s="9"/>
      <c r="Z87" s="9"/>
      <c r="AA87" s="9"/>
      <c r="AB87" s="9"/>
    </row>
    <row r="88" ht="15.75" customHeight="1" spans="1:28">
      <c r="A88" s="9"/>
      <c r="B88" s="9"/>
      <c r="C88" s="9"/>
      <c r="D88" s="9"/>
      <c r="E88" s="9"/>
      <c r="F88" s="9"/>
      <c r="G88" s="36"/>
      <c r="H88" s="37"/>
      <c r="I88" s="37"/>
      <c r="J88" s="9"/>
      <c r="K88" s="9"/>
      <c r="L88" s="9"/>
      <c r="M88" s="9"/>
      <c r="N88" s="9"/>
      <c r="O88" s="9"/>
      <c r="P88" s="9"/>
      <c r="Q88" s="9"/>
      <c r="R88" s="9"/>
      <c r="S88" s="9"/>
      <c r="T88" s="9"/>
      <c r="U88" s="9"/>
      <c r="V88" s="9"/>
      <c r="W88" s="9"/>
      <c r="X88" s="9"/>
      <c r="Y88" s="9"/>
      <c r="Z88" s="9"/>
      <c r="AA88" s="9"/>
      <c r="AB88" s="9"/>
    </row>
    <row r="89" ht="15.75" customHeight="1" spans="1:28">
      <c r="A89" s="9"/>
      <c r="B89" s="9"/>
      <c r="C89" s="9"/>
      <c r="D89" s="9"/>
      <c r="E89" s="9"/>
      <c r="F89" s="9"/>
      <c r="G89" s="36"/>
      <c r="H89" s="37"/>
      <c r="I89" s="37"/>
      <c r="J89" s="9"/>
      <c r="K89" s="9"/>
      <c r="L89" s="9"/>
      <c r="M89" s="9"/>
      <c r="N89" s="9"/>
      <c r="O89" s="9"/>
      <c r="P89" s="9"/>
      <c r="Q89" s="9"/>
      <c r="R89" s="9"/>
      <c r="S89" s="9"/>
      <c r="T89" s="9"/>
      <c r="U89" s="9"/>
      <c r="V89" s="9"/>
      <c r="W89" s="9"/>
      <c r="X89" s="9"/>
      <c r="Y89" s="9"/>
      <c r="Z89" s="9"/>
      <c r="AA89" s="9"/>
      <c r="AB89" s="9"/>
    </row>
    <row r="90" ht="15.75" customHeight="1" spans="1:28">
      <c r="A90" s="9"/>
      <c r="B90" s="9"/>
      <c r="C90" s="9"/>
      <c r="D90" s="9"/>
      <c r="E90" s="9"/>
      <c r="F90" s="9"/>
      <c r="G90" s="36"/>
      <c r="H90" s="37"/>
      <c r="I90" s="37"/>
      <c r="J90" s="9"/>
      <c r="K90" s="9"/>
      <c r="L90" s="9"/>
      <c r="M90" s="9"/>
      <c r="N90" s="9"/>
      <c r="O90" s="9"/>
      <c r="P90" s="9"/>
      <c r="Q90" s="9"/>
      <c r="R90" s="9"/>
      <c r="S90" s="9"/>
      <c r="T90" s="9"/>
      <c r="U90" s="9"/>
      <c r="V90" s="9"/>
      <c r="W90" s="9"/>
      <c r="X90" s="9"/>
      <c r="Y90" s="9"/>
      <c r="Z90" s="9"/>
      <c r="AA90" s="9"/>
      <c r="AB90" s="9"/>
    </row>
    <row r="91" ht="15.75" customHeight="1" spans="1:28">
      <c r="A91" s="9"/>
      <c r="B91" s="9"/>
      <c r="C91" s="9"/>
      <c r="D91" s="9"/>
      <c r="E91" s="9"/>
      <c r="F91" s="9"/>
      <c r="G91" s="36"/>
      <c r="H91" s="37"/>
      <c r="I91" s="37"/>
      <c r="J91" s="9"/>
      <c r="K91" s="9"/>
      <c r="L91" s="9"/>
      <c r="M91" s="9"/>
      <c r="N91" s="9"/>
      <c r="O91" s="9"/>
      <c r="P91" s="9"/>
      <c r="Q91" s="9"/>
      <c r="R91" s="9"/>
      <c r="S91" s="9"/>
      <c r="T91" s="9"/>
      <c r="U91" s="9"/>
      <c r="V91" s="9"/>
      <c r="W91" s="9"/>
      <c r="X91" s="9"/>
      <c r="Y91" s="9"/>
      <c r="Z91" s="9"/>
      <c r="AA91" s="9"/>
      <c r="AB91" s="9"/>
    </row>
    <row r="92" ht="15.75" customHeight="1" spans="1:28">
      <c r="A92" s="9"/>
      <c r="B92" s="9"/>
      <c r="C92" s="9"/>
      <c r="D92" s="9"/>
      <c r="E92" s="9"/>
      <c r="F92" s="9"/>
      <c r="G92" s="36"/>
      <c r="H92" s="37"/>
      <c r="I92" s="37"/>
      <c r="J92" s="9"/>
      <c r="K92" s="9"/>
      <c r="L92" s="9"/>
      <c r="M92" s="9"/>
      <c r="N92" s="9"/>
      <c r="O92" s="9"/>
      <c r="P92" s="9"/>
      <c r="Q92" s="9"/>
      <c r="R92" s="9"/>
      <c r="S92" s="9"/>
      <c r="T92" s="9"/>
      <c r="U92" s="9"/>
      <c r="V92" s="9"/>
      <c r="W92" s="9"/>
      <c r="X92" s="9"/>
      <c r="Y92" s="9"/>
      <c r="Z92" s="9"/>
      <c r="AA92" s="9"/>
      <c r="AB92" s="9"/>
    </row>
    <row r="93" ht="15.75" customHeight="1" spans="1:28">
      <c r="A93" s="9"/>
      <c r="B93" s="9"/>
      <c r="C93" s="9"/>
      <c r="D93" s="9"/>
      <c r="E93" s="9"/>
      <c r="F93" s="9"/>
      <c r="G93" s="36"/>
      <c r="H93" s="37"/>
      <c r="I93" s="37"/>
      <c r="J93" s="9"/>
      <c r="K93" s="9"/>
      <c r="L93" s="9"/>
      <c r="M93" s="9"/>
      <c r="N93" s="9"/>
      <c r="O93" s="9"/>
      <c r="P93" s="9"/>
      <c r="Q93" s="9"/>
      <c r="R93" s="9"/>
      <c r="S93" s="9"/>
      <c r="T93" s="9"/>
      <c r="U93" s="9"/>
      <c r="V93" s="9"/>
      <c r="W93" s="9"/>
      <c r="X93" s="9"/>
      <c r="Y93" s="9"/>
      <c r="Z93" s="9"/>
      <c r="AA93" s="9"/>
      <c r="AB93" s="9"/>
    </row>
    <row r="94" ht="15.75" customHeight="1" spans="1:28">
      <c r="A94" s="9"/>
      <c r="B94" s="9"/>
      <c r="C94" s="9"/>
      <c r="D94" s="9"/>
      <c r="E94" s="9"/>
      <c r="F94" s="9"/>
      <c r="G94" s="36"/>
      <c r="H94" s="37"/>
      <c r="I94" s="37"/>
      <c r="J94" s="9"/>
      <c r="K94" s="9"/>
      <c r="L94" s="9"/>
      <c r="M94" s="9"/>
      <c r="N94" s="9"/>
      <c r="O94" s="9"/>
      <c r="P94" s="9"/>
      <c r="Q94" s="9"/>
      <c r="R94" s="9"/>
      <c r="S94" s="9"/>
      <c r="T94" s="9"/>
      <c r="U94" s="9"/>
      <c r="V94" s="9"/>
      <c r="W94" s="9"/>
      <c r="X94" s="9"/>
      <c r="Y94" s="9"/>
      <c r="Z94" s="9"/>
      <c r="AA94" s="9"/>
      <c r="AB94" s="9"/>
    </row>
    <row r="95" ht="15.75" customHeight="1" spans="1:28">
      <c r="A95" s="9"/>
      <c r="B95" s="9"/>
      <c r="C95" s="9"/>
      <c r="D95" s="9"/>
      <c r="E95" s="9"/>
      <c r="F95" s="9"/>
      <c r="G95" s="36"/>
      <c r="H95" s="37"/>
      <c r="I95" s="37"/>
      <c r="J95" s="9"/>
      <c r="K95" s="9"/>
      <c r="L95" s="9"/>
      <c r="M95" s="9"/>
      <c r="N95" s="9"/>
      <c r="O95" s="9"/>
      <c r="P95" s="9"/>
      <c r="Q95" s="9"/>
      <c r="R95" s="9"/>
      <c r="S95" s="9"/>
      <c r="T95" s="9"/>
      <c r="U95" s="9"/>
      <c r="V95" s="9"/>
      <c r="W95" s="9"/>
      <c r="X95" s="9"/>
      <c r="Y95" s="9"/>
      <c r="Z95" s="9"/>
      <c r="AA95" s="9"/>
      <c r="AB95" s="9"/>
    </row>
    <row r="96" ht="15.75" customHeight="1" spans="1:28">
      <c r="A96" s="9"/>
      <c r="B96" s="9"/>
      <c r="C96" s="9"/>
      <c r="D96" s="9"/>
      <c r="E96" s="9"/>
      <c r="F96" s="9"/>
      <c r="G96" s="36"/>
      <c r="H96" s="37"/>
      <c r="I96" s="37"/>
      <c r="J96" s="9"/>
      <c r="K96" s="9"/>
      <c r="L96" s="9"/>
      <c r="M96" s="9"/>
      <c r="N96" s="9"/>
      <c r="O96" s="9"/>
      <c r="P96" s="9"/>
      <c r="Q96" s="9"/>
      <c r="R96" s="9"/>
      <c r="S96" s="9"/>
      <c r="T96" s="9"/>
      <c r="U96" s="9"/>
      <c r="V96" s="9"/>
      <c r="W96" s="9"/>
      <c r="X96" s="9"/>
      <c r="Y96" s="9"/>
      <c r="Z96" s="9"/>
      <c r="AA96" s="9"/>
      <c r="AB96" s="9"/>
    </row>
    <row r="97" ht="15.75" customHeight="1" spans="1:28">
      <c r="A97" s="9"/>
      <c r="B97" s="9"/>
      <c r="C97" s="9"/>
      <c r="D97" s="9"/>
      <c r="E97" s="9"/>
      <c r="F97" s="9"/>
      <c r="G97" s="36"/>
      <c r="H97" s="37"/>
      <c r="I97" s="37"/>
      <c r="J97" s="9"/>
      <c r="K97" s="9"/>
      <c r="L97" s="9"/>
      <c r="M97" s="9"/>
      <c r="N97" s="9"/>
      <c r="O97" s="9"/>
      <c r="P97" s="9"/>
      <c r="Q97" s="9"/>
      <c r="R97" s="9"/>
      <c r="S97" s="9"/>
      <c r="T97" s="9"/>
      <c r="U97" s="9"/>
      <c r="V97" s="9"/>
      <c r="W97" s="9"/>
      <c r="X97" s="9"/>
      <c r="Y97" s="9"/>
      <c r="Z97" s="9"/>
      <c r="AA97" s="9"/>
      <c r="AB97" s="9"/>
    </row>
    <row r="98" ht="15.75" customHeight="1" spans="1:28">
      <c r="A98" s="9"/>
      <c r="B98" s="9"/>
      <c r="C98" s="9"/>
      <c r="D98" s="9"/>
      <c r="E98" s="9"/>
      <c r="F98" s="9"/>
      <c r="G98" s="36"/>
      <c r="H98" s="37"/>
      <c r="I98" s="37"/>
      <c r="J98" s="9"/>
      <c r="K98" s="9"/>
      <c r="L98" s="9"/>
      <c r="M98" s="9"/>
      <c r="N98" s="9"/>
      <c r="O98" s="9"/>
      <c r="P98" s="9"/>
      <c r="Q98" s="9"/>
      <c r="R98" s="9"/>
      <c r="S98" s="9"/>
      <c r="T98" s="9"/>
      <c r="U98" s="9"/>
      <c r="V98" s="9"/>
      <c r="W98" s="9"/>
      <c r="X98" s="9"/>
      <c r="Y98" s="9"/>
      <c r="Z98" s="9"/>
      <c r="AA98" s="9"/>
      <c r="AB98" s="9"/>
    </row>
    <row r="99" ht="15.75" customHeight="1" spans="1:28">
      <c r="A99" s="9"/>
      <c r="B99" s="9"/>
      <c r="C99" s="9"/>
      <c r="D99" s="9"/>
      <c r="E99" s="9"/>
      <c r="F99" s="9"/>
      <c r="G99" s="36"/>
      <c r="H99" s="37"/>
      <c r="I99" s="37"/>
      <c r="J99" s="9"/>
      <c r="K99" s="9"/>
      <c r="L99" s="9"/>
      <c r="M99" s="9"/>
      <c r="N99" s="9"/>
      <c r="O99" s="9"/>
      <c r="P99" s="9"/>
      <c r="Q99" s="9"/>
      <c r="R99" s="9"/>
      <c r="S99" s="9"/>
      <c r="T99" s="9"/>
      <c r="U99" s="9"/>
      <c r="V99" s="9"/>
      <c r="W99" s="9"/>
      <c r="X99" s="9"/>
      <c r="Y99" s="9"/>
      <c r="Z99" s="9"/>
      <c r="AA99" s="9"/>
      <c r="AB99" s="9"/>
    </row>
    <row r="100" ht="15.75" customHeight="1" spans="1:28">
      <c r="A100" s="9"/>
      <c r="B100" s="9"/>
      <c r="C100" s="9"/>
      <c r="D100" s="9"/>
      <c r="E100" s="9"/>
      <c r="F100" s="9"/>
      <c r="G100" s="36"/>
      <c r="H100" s="37"/>
      <c r="I100" s="37"/>
      <c r="J100" s="9"/>
      <c r="K100" s="9"/>
      <c r="L100" s="9"/>
      <c r="M100" s="9"/>
      <c r="N100" s="9"/>
      <c r="O100" s="9"/>
      <c r="P100" s="9"/>
      <c r="Q100" s="9"/>
      <c r="R100" s="9"/>
      <c r="S100" s="9"/>
      <c r="T100" s="9"/>
      <c r="U100" s="9"/>
      <c r="V100" s="9"/>
      <c r="W100" s="9"/>
      <c r="X100" s="9"/>
      <c r="Y100" s="9"/>
      <c r="Z100" s="9"/>
      <c r="AA100" s="9"/>
      <c r="AB100" s="9"/>
    </row>
    <row r="101" ht="15.75" customHeight="1" spans="1:28">
      <c r="A101" s="9"/>
      <c r="B101" s="9"/>
      <c r="C101" s="9"/>
      <c r="D101" s="9"/>
      <c r="E101" s="9"/>
      <c r="F101" s="9"/>
      <c r="G101" s="36"/>
      <c r="H101" s="37"/>
      <c r="I101" s="37"/>
      <c r="J101" s="9"/>
      <c r="K101" s="9"/>
      <c r="L101" s="9"/>
      <c r="M101" s="9"/>
      <c r="N101" s="9"/>
      <c r="O101" s="9"/>
      <c r="P101" s="9"/>
      <c r="Q101" s="9"/>
      <c r="R101" s="9"/>
      <c r="S101" s="9"/>
      <c r="T101" s="9"/>
      <c r="U101" s="9"/>
      <c r="V101" s="9"/>
      <c r="W101" s="9"/>
      <c r="X101" s="9"/>
      <c r="Y101" s="9"/>
      <c r="Z101" s="9"/>
      <c r="AA101" s="9"/>
      <c r="AB101" s="9"/>
    </row>
    <row r="102" ht="15.75" customHeight="1" spans="1:28">
      <c r="A102" s="9"/>
      <c r="B102" s="9"/>
      <c r="C102" s="9"/>
      <c r="D102" s="9"/>
      <c r="E102" s="9"/>
      <c r="F102" s="9"/>
      <c r="G102" s="36"/>
      <c r="H102" s="37"/>
      <c r="I102" s="37"/>
      <c r="J102" s="9"/>
      <c r="K102" s="9"/>
      <c r="L102" s="9"/>
      <c r="M102" s="9"/>
      <c r="N102" s="9"/>
      <c r="O102" s="9"/>
      <c r="P102" s="9"/>
      <c r="Q102" s="9"/>
      <c r="R102" s="9"/>
      <c r="S102" s="9"/>
      <c r="T102" s="9"/>
      <c r="U102" s="9"/>
      <c r="V102" s="9"/>
      <c r="W102" s="9"/>
      <c r="X102" s="9"/>
      <c r="Y102" s="9"/>
      <c r="Z102" s="9"/>
      <c r="AA102" s="9"/>
      <c r="AB102" s="9"/>
    </row>
    <row r="103" ht="15.75" customHeight="1" spans="1:28">
      <c r="A103" s="9"/>
      <c r="B103" s="9"/>
      <c r="C103" s="9"/>
      <c r="D103" s="9"/>
      <c r="E103" s="9"/>
      <c r="F103" s="9"/>
      <c r="G103" s="36"/>
      <c r="H103" s="37"/>
      <c r="I103" s="37"/>
      <c r="J103" s="9"/>
      <c r="K103" s="9"/>
      <c r="L103" s="9"/>
      <c r="M103" s="9"/>
      <c r="N103" s="9"/>
      <c r="O103" s="9"/>
      <c r="P103" s="9"/>
      <c r="Q103" s="9"/>
      <c r="R103" s="9"/>
      <c r="S103" s="9"/>
      <c r="T103" s="9"/>
      <c r="U103" s="9"/>
      <c r="V103" s="9"/>
      <c r="W103" s="9"/>
      <c r="X103" s="9"/>
      <c r="Y103" s="9"/>
      <c r="Z103" s="9"/>
      <c r="AA103" s="9"/>
      <c r="AB103" s="9"/>
    </row>
    <row r="104" ht="15.75" customHeight="1" spans="1:28">
      <c r="A104" s="9"/>
      <c r="B104" s="9"/>
      <c r="C104" s="9"/>
      <c r="D104" s="9"/>
      <c r="E104" s="9"/>
      <c r="F104" s="9"/>
      <c r="G104" s="36"/>
      <c r="H104" s="37"/>
      <c r="I104" s="37"/>
      <c r="J104" s="9"/>
      <c r="K104" s="9"/>
      <c r="L104" s="9"/>
      <c r="M104" s="9"/>
      <c r="N104" s="9"/>
      <c r="O104" s="9"/>
      <c r="P104" s="9"/>
      <c r="Q104" s="9"/>
      <c r="R104" s="9"/>
      <c r="S104" s="9"/>
      <c r="T104" s="9"/>
      <c r="U104" s="9"/>
      <c r="V104" s="9"/>
      <c r="W104" s="9"/>
      <c r="X104" s="9"/>
      <c r="Y104" s="9"/>
      <c r="Z104" s="9"/>
      <c r="AA104" s="9"/>
      <c r="AB104" s="9"/>
    </row>
    <row r="105" ht="15.75" customHeight="1" spans="1:28">
      <c r="A105" s="9"/>
      <c r="B105" s="9"/>
      <c r="C105" s="9"/>
      <c r="D105" s="9"/>
      <c r="E105" s="9"/>
      <c r="F105" s="9"/>
      <c r="G105" s="36"/>
      <c r="H105" s="37"/>
      <c r="I105" s="37"/>
      <c r="J105" s="9"/>
      <c r="K105" s="9"/>
      <c r="L105" s="9"/>
      <c r="M105" s="9"/>
      <c r="N105" s="9"/>
      <c r="O105" s="9"/>
      <c r="P105" s="9"/>
      <c r="Q105" s="9"/>
      <c r="R105" s="9"/>
      <c r="S105" s="9"/>
      <c r="T105" s="9"/>
      <c r="U105" s="9"/>
      <c r="V105" s="9"/>
      <c r="W105" s="9"/>
      <c r="X105" s="9"/>
      <c r="Y105" s="9"/>
      <c r="Z105" s="9"/>
      <c r="AA105" s="9"/>
      <c r="AB105" s="9"/>
    </row>
    <row r="106" ht="15.75" customHeight="1" spans="1:28">
      <c r="A106" s="9"/>
      <c r="B106" s="9"/>
      <c r="C106" s="9"/>
      <c r="D106" s="9"/>
      <c r="E106" s="9"/>
      <c r="F106" s="9"/>
      <c r="G106" s="36"/>
      <c r="H106" s="37"/>
      <c r="I106" s="37"/>
      <c r="J106" s="9"/>
      <c r="K106" s="9"/>
      <c r="L106" s="9"/>
      <c r="M106" s="9"/>
      <c r="N106" s="9"/>
      <c r="O106" s="9"/>
      <c r="P106" s="9"/>
      <c r="Q106" s="9"/>
      <c r="R106" s="9"/>
      <c r="S106" s="9"/>
      <c r="T106" s="9"/>
      <c r="U106" s="9"/>
      <c r="V106" s="9"/>
      <c r="W106" s="9"/>
      <c r="X106" s="9"/>
      <c r="Y106" s="9"/>
      <c r="Z106" s="9"/>
      <c r="AA106" s="9"/>
      <c r="AB106" s="9"/>
    </row>
    <row r="107" ht="15.75" customHeight="1" spans="1:28">
      <c r="A107" s="9"/>
      <c r="B107" s="9"/>
      <c r="C107" s="9"/>
      <c r="D107" s="9"/>
      <c r="E107" s="9"/>
      <c r="F107" s="9"/>
      <c r="G107" s="36"/>
      <c r="H107" s="37"/>
      <c r="I107" s="37"/>
      <c r="J107" s="9"/>
      <c r="K107" s="9"/>
      <c r="L107" s="9"/>
      <c r="M107" s="9"/>
      <c r="N107" s="9"/>
      <c r="O107" s="9"/>
      <c r="P107" s="9"/>
      <c r="Q107" s="9"/>
      <c r="R107" s="9"/>
      <c r="S107" s="9"/>
      <c r="T107" s="9"/>
      <c r="U107" s="9"/>
      <c r="V107" s="9"/>
      <c r="W107" s="9"/>
      <c r="X107" s="9"/>
      <c r="Y107" s="9"/>
      <c r="Z107" s="9"/>
      <c r="AA107" s="9"/>
      <c r="AB107" s="9"/>
    </row>
    <row r="108" ht="15.75" customHeight="1" spans="1:28">
      <c r="A108" s="9"/>
      <c r="B108" s="9"/>
      <c r="C108" s="9"/>
      <c r="D108" s="9"/>
      <c r="E108" s="9"/>
      <c r="F108" s="9"/>
      <c r="G108" s="36"/>
      <c r="H108" s="37"/>
      <c r="I108" s="37"/>
      <c r="J108" s="9"/>
      <c r="K108" s="9"/>
      <c r="L108" s="9"/>
      <c r="M108" s="9"/>
      <c r="N108" s="9"/>
      <c r="O108" s="9"/>
      <c r="P108" s="9"/>
      <c r="Q108" s="9"/>
      <c r="R108" s="9"/>
      <c r="S108" s="9"/>
      <c r="T108" s="9"/>
      <c r="U108" s="9"/>
      <c r="V108" s="9"/>
      <c r="W108" s="9"/>
      <c r="X108" s="9"/>
      <c r="Y108" s="9"/>
      <c r="Z108" s="9"/>
      <c r="AA108" s="9"/>
      <c r="AB108" s="9"/>
    </row>
    <row r="109" ht="15.75" customHeight="1" spans="1:28">
      <c r="A109" s="9"/>
      <c r="B109" s="9"/>
      <c r="C109" s="9"/>
      <c r="D109" s="9"/>
      <c r="E109" s="9"/>
      <c r="F109" s="9"/>
      <c r="G109" s="36"/>
      <c r="H109" s="37"/>
      <c r="I109" s="37"/>
      <c r="J109" s="9"/>
      <c r="K109" s="9"/>
      <c r="L109" s="9"/>
      <c r="M109" s="9"/>
      <c r="N109" s="9"/>
      <c r="O109" s="9"/>
      <c r="P109" s="9"/>
      <c r="Q109" s="9"/>
      <c r="R109" s="9"/>
      <c r="S109" s="9"/>
      <c r="T109" s="9"/>
      <c r="U109" s="9"/>
      <c r="V109" s="9"/>
      <c r="W109" s="9"/>
      <c r="X109" s="9"/>
      <c r="Y109" s="9"/>
      <c r="Z109" s="9"/>
      <c r="AA109" s="9"/>
      <c r="AB109" s="9"/>
    </row>
    <row r="110" ht="15.75" customHeight="1" spans="1:28">
      <c r="A110" s="9"/>
      <c r="B110" s="9"/>
      <c r="C110" s="9"/>
      <c r="D110" s="9"/>
      <c r="E110" s="9"/>
      <c r="F110" s="9"/>
      <c r="G110" s="36"/>
      <c r="H110" s="37"/>
      <c r="I110" s="37"/>
      <c r="J110" s="9"/>
      <c r="K110" s="9"/>
      <c r="L110" s="9"/>
      <c r="M110" s="9"/>
      <c r="N110" s="9"/>
      <c r="O110" s="9"/>
      <c r="P110" s="9"/>
      <c r="Q110" s="9"/>
      <c r="R110" s="9"/>
      <c r="S110" s="9"/>
      <c r="T110" s="9"/>
      <c r="U110" s="9"/>
      <c r="V110" s="9"/>
      <c r="W110" s="9"/>
      <c r="X110" s="9"/>
      <c r="Y110" s="9"/>
      <c r="Z110" s="9"/>
      <c r="AA110" s="9"/>
      <c r="AB110" s="9"/>
    </row>
    <row r="111" ht="15.75" customHeight="1" spans="1:28">
      <c r="A111" s="9"/>
      <c r="B111" s="9"/>
      <c r="C111" s="9"/>
      <c r="D111" s="9"/>
      <c r="E111" s="9"/>
      <c r="F111" s="9"/>
      <c r="G111" s="36"/>
      <c r="H111" s="37"/>
      <c r="I111" s="37"/>
      <c r="J111" s="9"/>
      <c r="K111" s="9"/>
      <c r="L111" s="9"/>
      <c r="M111" s="9"/>
      <c r="N111" s="9"/>
      <c r="O111" s="9"/>
      <c r="P111" s="9"/>
      <c r="Q111" s="9"/>
      <c r="R111" s="9"/>
      <c r="S111" s="9"/>
      <c r="T111" s="9"/>
      <c r="U111" s="9"/>
      <c r="V111" s="9"/>
      <c r="W111" s="9"/>
      <c r="X111" s="9"/>
      <c r="Y111" s="9"/>
      <c r="Z111" s="9"/>
      <c r="AA111" s="9"/>
      <c r="AB111" s="9"/>
    </row>
    <row r="112" ht="15.75" customHeight="1" spans="1:28">
      <c r="A112" s="9"/>
      <c r="B112" s="9"/>
      <c r="C112" s="9"/>
      <c r="D112" s="9"/>
      <c r="E112" s="9"/>
      <c r="F112" s="9"/>
      <c r="G112" s="36"/>
      <c r="H112" s="37"/>
      <c r="I112" s="37"/>
      <c r="J112" s="9"/>
      <c r="K112" s="9"/>
      <c r="L112" s="9"/>
      <c r="M112" s="9"/>
      <c r="N112" s="9"/>
      <c r="O112" s="9"/>
      <c r="P112" s="9"/>
      <c r="Q112" s="9"/>
      <c r="R112" s="9"/>
      <c r="S112" s="9"/>
      <c r="T112" s="9"/>
      <c r="U112" s="9"/>
      <c r="V112" s="9"/>
      <c r="W112" s="9"/>
      <c r="X112" s="9"/>
      <c r="Y112" s="9"/>
      <c r="Z112" s="9"/>
      <c r="AA112" s="9"/>
      <c r="AB112" s="9"/>
    </row>
    <row r="113" ht="15.75" customHeight="1" spans="1:28">
      <c r="A113" s="9"/>
      <c r="B113" s="9"/>
      <c r="C113" s="9"/>
      <c r="D113" s="9"/>
      <c r="E113" s="9"/>
      <c r="F113" s="9"/>
      <c r="G113" s="36"/>
      <c r="H113" s="37"/>
      <c r="I113" s="37"/>
      <c r="J113" s="9"/>
      <c r="K113" s="9"/>
      <c r="L113" s="9"/>
      <c r="M113" s="9"/>
      <c r="N113" s="9"/>
      <c r="O113" s="9"/>
      <c r="P113" s="9"/>
      <c r="Q113" s="9"/>
      <c r="R113" s="9"/>
      <c r="S113" s="9"/>
      <c r="T113" s="9"/>
      <c r="U113" s="9"/>
      <c r="V113" s="9"/>
      <c r="W113" s="9"/>
      <c r="X113" s="9"/>
      <c r="Y113" s="9"/>
      <c r="Z113" s="9"/>
      <c r="AA113" s="9"/>
      <c r="AB113" s="9"/>
    </row>
    <row r="114" ht="15.75" customHeight="1" spans="1:28">
      <c r="A114" s="9"/>
      <c r="B114" s="9"/>
      <c r="C114" s="9"/>
      <c r="D114" s="9"/>
      <c r="E114" s="9"/>
      <c r="F114" s="9"/>
      <c r="G114" s="36"/>
      <c r="H114" s="37"/>
      <c r="I114" s="37"/>
      <c r="J114" s="9"/>
      <c r="K114" s="9"/>
      <c r="L114" s="9"/>
      <c r="M114" s="9"/>
      <c r="N114" s="9"/>
      <c r="O114" s="9"/>
      <c r="P114" s="9"/>
      <c r="Q114" s="9"/>
      <c r="R114" s="9"/>
      <c r="S114" s="9"/>
      <c r="T114" s="9"/>
      <c r="U114" s="9"/>
      <c r="V114" s="9"/>
      <c r="W114" s="9"/>
      <c r="X114" s="9"/>
      <c r="Y114" s="9"/>
      <c r="Z114" s="9"/>
      <c r="AA114" s="9"/>
      <c r="AB114" s="9"/>
    </row>
    <row r="115" ht="15.75" customHeight="1" spans="1:28">
      <c r="A115" s="9"/>
      <c r="B115" s="9"/>
      <c r="C115" s="9"/>
      <c r="D115" s="9"/>
      <c r="E115" s="9"/>
      <c r="F115" s="9"/>
      <c r="G115" s="36"/>
      <c r="H115" s="37"/>
      <c r="I115" s="37"/>
      <c r="J115" s="9"/>
      <c r="K115" s="9"/>
      <c r="L115" s="9"/>
      <c r="M115" s="9"/>
      <c r="N115" s="9"/>
      <c r="O115" s="9"/>
      <c r="P115" s="9"/>
      <c r="Q115" s="9"/>
      <c r="R115" s="9"/>
      <c r="S115" s="9"/>
      <c r="T115" s="9"/>
      <c r="U115" s="9"/>
      <c r="V115" s="9"/>
      <c r="W115" s="9"/>
      <c r="X115" s="9"/>
      <c r="Y115" s="9"/>
      <c r="Z115" s="9"/>
      <c r="AA115" s="9"/>
      <c r="AB115" s="9"/>
    </row>
    <row r="116" ht="15.75" customHeight="1" spans="1:28">
      <c r="A116" s="9"/>
      <c r="B116" s="9"/>
      <c r="C116" s="9"/>
      <c r="D116" s="9"/>
      <c r="E116" s="9"/>
      <c r="F116" s="9"/>
      <c r="G116" s="36"/>
      <c r="H116" s="37"/>
      <c r="I116" s="37"/>
      <c r="J116" s="9"/>
      <c r="K116" s="9"/>
      <c r="L116" s="9"/>
      <c r="M116" s="9"/>
      <c r="N116" s="9"/>
      <c r="O116" s="9"/>
      <c r="P116" s="9"/>
      <c r="Q116" s="9"/>
      <c r="R116" s="9"/>
      <c r="S116" s="9"/>
      <c r="T116" s="9"/>
      <c r="U116" s="9"/>
      <c r="V116" s="9"/>
      <c r="W116" s="9"/>
      <c r="X116" s="9"/>
      <c r="Y116" s="9"/>
      <c r="Z116" s="9"/>
      <c r="AA116" s="9"/>
      <c r="AB116" s="9"/>
    </row>
    <row r="117" ht="15.75" customHeight="1" spans="1:28">
      <c r="A117" s="9"/>
      <c r="B117" s="9"/>
      <c r="C117" s="9"/>
      <c r="D117" s="9"/>
      <c r="E117" s="9"/>
      <c r="F117" s="9"/>
      <c r="G117" s="36"/>
      <c r="H117" s="37"/>
      <c r="I117" s="37"/>
      <c r="J117" s="9"/>
      <c r="K117" s="9"/>
      <c r="L117" s="9"/>
      <c r="M117" s="9"/>
      <c r="N117" s="9"/>
      <c r="O117" s="9"/>
      <c r="P117" s="9"/>
      <c r="Q117" s="9"/>
      <c r="R117" s="9"/>
      <c r="S117" s="9"/>
      <c r="T117" s="9"/>
      <c r="U117" s="9"/>
      <c r="V117" s="9"/>
      <c r="W117" s="9"/>
      <c r="X117" s="9"/>
      <c r="Y117" s="9"/>
      <c r="Z117" s="9"/>
      <c r="AA117" s="9"/>
      <c r="AB117" s="9"/>
    </row>
    <row r="118" ht="15.75" customHeight="1" spans="1:28">
      <c r="A118" s="9"/>
      <c r="B118" s="9"/>
      <c r="C118" s="9"/>
      <c r="D118" s="9"/>
      <c r="E118" s="9"/>
      <c r="F118" s="9"/>
      <c r="G118" s="36"/>
      <c r="H118" s="37"/>
      <c r="I118" s="37"/>
      <c r="J118" s="9"/>
      <c r="K118" s="9"/>
      <c r="L118" s="9"/>
      <c r="M118" s="9"/>
      <c r="N118" s="9"/>
      <c r="O118" s="9"/>
      <c r="P118" s="9"/>
      <c r="Q118" s="9"/>
      <c r="R118" s="9"/>
      <c r="S118" s="9"/>
      <c r="T118" s="9"/>
      <c r="U118" s="9"/>
      <c r="V118" s="9"/>
      <c r="W118" s="9"/>
      <c r="X118" s="9"/>
      <c r="Y118" s="9"/>
      <c r="Z118" s="9"/>
      <c r="AA118" s="9"/>
      <c r="AB118" s="9"/>
    </row>
    <row r="119" ht="15.75" customHeight="1" spans="1:28">
      <c r="A119" s="9"/>
      <c r="B119" s="9"/>
      <c r="C119" s="9"/>
      <c r="D119" s="9"/>
      <c r="E119" s="9"/>
      <c r="F119" s="9"/>
      <c r="G119" s="36"/>
      <c r="H119" s="37"/>
      <c r="I119" s="37"/>
      <c r="J119" s="9"/>
      <c r="K119" s="9"/>
      <c r="L119" s="9"/>
      <c r="M119" s="9"/>
      <c r="N119" s="9"/>
      <c r="O119" s="9"/>
      <c r="P119" s="9"/>
      <c r="Q119" s="9"/>
      <c r="R119" s="9"/>
      <c r="S119" s="9"/>
      <c r="T119" s="9"/>
      <c r="U119" s="9"/>
      <c r="V119" s="9"/>
      <c r="W119" s="9"/>
      <c r="X119" s="9"/>
      <c r="Y119" s="9"/>
      <c r="Z119" s="9"/>
      <c r="AA119" s="9"/>
      <c r="AB119" s="9"/>
    </row>
    <row r="120" ht="15.75" customHeight="1" spans="1:28">
      <c r="A120" s="9"/>
      <c r="B120" s="9"/>
      <c r="C120" s="9"/>
      <c r="D120" s="9"/>
      <c r="E120" s="9"/>
      <c r="F120" s="9"/>
      <c r="G120" s="36"/>
      <c r="H120" s="37"/>
      <c r="I120" s="37"/>
      <c r="J120" s="9"/>
      <c r="K120" s="9"/>
      <c r="L120" s="9"/>
      <c r="M120" s="9"/>
      <c r="N120" s="9"/>
      <c r="O120" s="9"/>
      <c r="P120" s="9"/>
      <c r="Q120" s="9"/>
      <c r="R120" s="9"/>
      <c r="S120" s="9"/>
      <c r="T120" s="9"/>
      <c r="U120" s="9"/>
      <c r="V120" s="9"/>
      <c r="W120" s="9"/>
      <c r="X120" s="9"/>
      <c r="Y120" s="9"/>
      <c r="Z120" s="9"/>
      <c r="AA120" s="9"/>
      <c r="AB120" s="9"/>
    </row>
    <row r="121" ht="15.75" customHeight="1" spans="1:28">
      <c r="A121" s="9"/>
      <c r="B121" s="9"/>
      <c r="C121" s="9"/>
      <c r="D121" s="9"/>
      <c r="E121" s="9"/>
      <c r="F121" s="9"/>
      <c r="G121" s="36"/>
      <c r="H121" s="37"/>
      <c r="I121" s="37"/>
      <c r="J121" s="9"/>
      <c r="K121" s="9"/>
      <c r="L121" s="9"/>
      <c r="M121" s="9"/>
      <c r="N121" s="9"/>
      <c r="O121" s="9"/>
      <c r="P121" s="9"/>
      <c r="Q121" s="9"/>
      <c r="R121" s="9"/>
      <c r="S121" s="9"/>
      <c r="T121" s="9"/>
      <c r="U121" s="9"/>
      <c r="V121" s="9"/>
      <c r="W121" s="9"/>
      <c r="X121" s="9"/>
      <c r="Y121" s="9"/>
      <c r="Z121" s="9"/>
      <c r="AA121" s="9"/>
      <c r="AB121" s="9"/>
    </row>
    <row r="122" ht="15.75" customHeight="1" spans="1:28">
      <c r="A122" s="9"/>
      <c r="B122" s="9"/>
      <c r="C122" s="9"/>
      <c r="D122" s="9"/>
      <c r="E122" s="9"/>
      <c r="F122" s="9"/>
      <c r="G122" s="36"/>
      <c r="H122" s="37"/>
      <c r="I122" s="37"/>
      <c r="J122" s="9"/>
      <c r="K122" s="9"/>
      <c r="L122" s="9"/>
      <c r="M122" s="9"/>
      <c r="N122" s="9"/>
      <c r="O122" s="9"/>
      <c r="P122" s="9"/>
      <c r="Q122" s="9"/>
      <c r="R122" s="9"/>
      <c r="S122" s="9"/>
      <c r="T122" s="9"/>
      <c r="U122" s="9"/>
      <c r="V122" s="9"/>
      <c r="W122" s="9"/>
      <c r="X122" s="9"/>
      <c r="Y122" s="9"/>
      <c r="Z122" s="9"/>
      <c r="AA122" s="9"/>
      <c r="AB122" s="9"/>
    </row>
    <row r="123" ht="15.75" customHeight="1" spans="1:28">
      <c r="A123" s="9"/>
      <c r="B123" s="9"/>
      <c r="C123" s="9"/>
      <c r="D123" s="9"/>
      <c r="E123" s="9"/>
      <c r="F123" s="9"/>
      <c r="G123" s="36"/>
      <c r="H123" s="37"/>
      <c r="I123" s="37"/>
      <c r="J123" s="9"/>
      <c r="K123" s="9"/>
      <c r="L123" s="9"/>
      <c r="M123" s="9"/>
      <c r="N123" s="9"/>
      <c r="O123" s="9"/>
      <c r="P123" s="9"/>
      <c r="Q123" s="9"/>
      <c r="R123" s="9"/>
      <c r="S123" s="9"/>
      <c r="T123" s="9"/>
      <c r="U123" s="9"/>
      <c r="V123" s="9"/>
      <c r="W123" s="9"/>
      <c r="X123" s="9"/>
      <c r="Y123" s="9"/>
      <c r="Z123" s="9"/>
      <c r="AA123" s="9"/>
      <c r="AB123" s="9"/>
    </row>
    <row r="124" ht="15.75" customHeight="1" spans="1:28">
      <c r="A124" s="9"/>
      <c r="B124" s="9"/>
      <c r="C124" s="9"/>
      <c r="D124" s="9"/>
      <c r="E124" s="9"/>
      <c r="F124" s="9"/>
      <c r="G124" s="36"/>
      <c r="H124" s="37"/>
      <c r="I124" s="37"/>
      <c r="J124" s="9"/>
      <c r="K124" s="9"/>
      <c r="L124" s="9"/>
      <c r="M124" s="9"/>
      <c r="N124" s="9"/>
      <c r="O124" s="9"/>
      <c r="P124" s="9"/>
      <c r="Q124" s="9"/>
      <c r="R124" s="9"/>
      <c r="S124" s="9"/>
      <c r="T124" s="9"/>
      <c r="U124" s="9"/>
      <c r="V124" s="9"/>
      <c r="W124" s="9"/>
      <c r="X124" s="9"/>
      <c r="Y124" s="9"/>
      <c r="Z124" s="9"/>
      <c r="AA124" s="9"/>
      <c r="AB124" s="9"/>
    </row>
    <row r="125" ht="15.75" customHeight="1" spans="1:28">
      <c r="A125" s="9"/>
      <c r="B125" s="9"/>
      <c r="C125" s="9"/>
      <c r="D125" s="9"/>
      <c r="E125" s="9"/>
      <c r="F125" s="9"/>
      <c r="G125" s="36"/>
      <c r="H125" s="37"/>
      <c r="I125" s="37"/>
      <c r="J125" s="9"/>
      <c r="K125" s="9"/>
      <c r="L125" s="9"/>
      <c r="M125" s="9"/>
      <c r="N125" s="9"/>
      <c r="O125" s="9"/>
      <c r="P125" s="9"/>
      <c r="Q125" s="9"/>
      <c r="R125" s="9"/>
      <c r="S125" s="9"/>
      <c r="T125" s="9"/>
      <c r="U125" s="9"/>
      <c r="V125" s="9"/>
      <c r="W125" s="9"/>
      <c r="X125" s="9"/>
      <c r="Y125" s="9"/>
      <c r="Z125" s="9"/>
      <c r="AA125" s="9"/>
      <c r="AB125" s="9"/>
    </row>
    <row r="126" ht="15.75" customHeight="1" spans="1:28">
      <c r="A126" s="9"/>
      <c r="B126" s="9"/>
      <c r="C126" s="9"/>
      <c r="D126" s="9"/>
      <c r="E126" s="9"/>
      <c r="F126" s="9"/>
      <c r="G126" s="36"/>
      <c r="H126" s="37"/>
      <c r="I126" s="37"/>
      <c r="J126" s="9"/>
      <c r="K126" s="9"/>
      <c r="L126" s="9"/>
      <c r="M126" s="9"/>
      <c r="N126" s="9"/>
      <c r="O126" s="9"/>
      <c r="P126" s="9"/>
      <c r="Q126" s="9"/>
      <c r="R126" s="9"/>
      <c r="S126" s="9"/>
      <c r="T126" s="9"/>
      <c r="U126" s="9"/>
      <c r="V126" s="9"/>
      <c r="W126" s="9"/>
      <c r="X126" s="9"/>
      <c r="Y126" s="9"/>
      <c r="Z126" s="9"/>
      <c r="AA126" s="9"/>
      <c r="AB126" s="9"/>
    </row>
    <row r="127" ht="15.75" customHeight="1" spans="1:28">
      <c r="A127" s="9"/>
      <c r="B127" s="9"/>
      <c r="C127" s="9"/>
      <c r="D127" s="9"/>
      <c r="E127" s="9"/>
      <c r="F127" s="9"/>
      <c r="G127" s="36"/>
      <c r="H127" s="37"/>
      <c r="I127" s="37"/>
      <c r="J127" s="9"/>
      <c r="K127" s="9"/>
      <c r="L127" s="9"/>
      <c r="M127" s="9"/>
      <c r="N127" s="9"/>
      <c r="O127" s="9"/>
      <c r="P127" s="9"/>
      <c r="Q127" s="9"/>
      <c r="R127" s="9"/>
      <c r="S127" s="9"/>
      <c r="T127" s="9"/>
      <c r="U127" s="9"/>
      <c r="V127" s="9"/>
      <c r="W127" s="9"/>
      <c r="X127" s="9"/>
      <c r="Y127" s="9"/>
      <c r="Z127" s="9"/>
      <c r="AA127" s="9"/>
      <c r="AB127" s="9"/>
    </row>
    <row r="128" ht="15.75" customHeight="1" spans="1:28">
      <c r="A128" s="9"/>
      <c r="B128" s="9"/>
      <c r="C128" s="9"/>
      <c r="D128" s="9"/>
      <c r="E128" s="9"/>
      <c r="F128" s="9"/>
      <c r="G128" s="36"/>
      <c r="H128" s="37"/>
      <c r="I128" s="37"/>
      <c r="J128" s="9"/>
      <c r="K128" s="9"/>
      <c r="L128" s="9"/>
      <c r="M128" s="9"/>
      <c r="N128" s="9"/>
      <c r="O128" s="9"/>
      <c r="P128" s="9"/>
      <c r="Q128" s="9"/>
      <c r="R128" s="9"/>
      <c r="S128" s="9"/>
      <c r="T128" s="9"/>
      <c r="U128" s="9"/>
      <c r="V128" s="9"/>
      <c r="W128" s="9"/>
      <c r="X128" s="9"/>
      <c r="Y128" s="9"/>
      <c r="Z128" s="9"/>
      <c r="AA128" s="9"/>
      <c r="AB128" s="9"/>
    </row>
    <row r="129" ht="15.75" customHeight="1" spans="1:28">
      <c r="A129" s="9"/>
      <c r="B129" s="9"/>
      <c r="C129" s="9"/>
      <c r="D129" s="9"/>
      <c r="E129" s="9"/>
      <c r="F129" s="9"/>
      <c r="G129" s="36"/>
      <c r="H129" s="37"/>
      <c r="I129" s="37"/>
      <c r="J129" s="9"/>
      <c r="K129" s="9"/>
      <c r="L129" s="9"/>
      <c r="M129" s="9"/>
      <c r="N129" s="9"/>
      <c r="O129" s="9"/>
      <c r="P129" s="9"/>
      <c r="Q129" s="9"/>
      <c r="R129" s="9"/>
      <c r="S129" s="9"/>
      <c r="T129" s="9"/>
      <c r="U129" s="9"/>
      <c r="V129" s="9"/>
      <c r="W129" s="9"/>
      <c r="X129" s="9"/>
      <c r="Y129" s="9"/>
      <c r="Z129" s="9"/>
      <c r="AA129" s="9"/>
      <c r="AB129" s="9"/>
    </row>
    <row r="130" ht="15.75" customHeight="1" spans="1:28">
      <c r="A130" s="9"/>
      <c r="B130" s="9"/>
      <c r="C130" s="9"/>
      <c r="D130" s="9"/>
      <c r="E130" s="9"/>
      <c r="F130" s="9"/>
      <c r="G130" s="36"/>
      <c r="H130" s="37"/>
      <c r="I130" s="37"/>
      <c r="J130" s="9"/>
      <c r="K130" s="9"/>
      <c r="L130" s="9"/>
      <c r="M130" s="9"/>
      <c r="N130" s="9"/>
      <c r="O130" s="9"/>
      <c r="P130" s="9"/>
      <c r="Q130" s="9"/>
      <c r="R130" s="9"/>
      <c r="S130" s="9"/>
      <c r="T130" s="9"/>
      <c r="U130" s="9"/>
      <c r="V130" s="9"/>
      <c r="W130" s="9"/>
      <c r="X130" s="9"/>
      <c r="Y130" s="9"/>
      <c r="Z130" s="9"/>
      <c r="AA130" s="9"/>
      <c r="AB130" s="9"/>
    </row>
    <row r="131" ht="15.75" customHeight="1" spans="1:28">
      <c r="A131" s="9"/>
      <c r="B131" s="9"/>
      <c r="C131" s="9"/>
      <c r="D131" s="9"/>
      <c r="E131" s="9"/>
      <c r="F131" s="9"/>
      <c r="G131" s="36"/>
      <c r="H131" s="37"/>
      <c r="I131" s="37"/>
      <c r="J131" s="9"/>
      <c r="K131" s="9"/>
      <c r="L131" s="9"/>
      <c r="M131" s="9"/>
      <c r="N131" s="9"/>
      <c r="O131" s="9"/>
      <c r="P131" s="9"/>
      <c r="Q131" s="9"/>
      <c r="R131" s="9"/>
      <c r="S131" s="9"/>
      <c r="T131" s="9"/>
      <c r="U131" s="9"/>
      <c r="V131" s="9"/>
      <c r="W131" s="9"/>
      <c r="X131" s="9"/>
      <c r="Y131" s="9"/>
      <c r="Z131" s="9"/>
      <c r="AA131" s="9"/>
      <c r="AB131" s="9"/>
    </row>
    <row r="132" ht="15.75" customHeight="1" spans="1:28">
      <c r="A132" s="9"/>
      <c r="B132" s="9"/>
      <c r="C132" s="9"/>
      <c r="D132" s="9"/>
      <c r="E132" s="9"/>
      <c r="F132" s="9"/>
      <c r="G132" s="36"/>
      <c r="H132" s="37"/>
      <c r="I132" s="37"/>
      <c r="J132" s="9"/>
      <c r="K132" s="9"/>
      <c r="L132" s="9"/>
      <c r="M132" s="9"/>
      <c r="N132" s="9"/>
      <c r="O132" s="9"/>
      <c r="P132" s="9"/>
      <c r="Q132" s="9"/>
      <c r="R132" s="9"/>
      <c r="S132" s="9"/>
      <c r="T132" s="9"/>
      <c r="U132" s="9"/>
      <c r="V132" s="9"/>
      <c r="W132" s="9"/>
      <c r="X132" s="9"/>
      <c r="Y132" s="9"/>
      <c r="Z132" s="9"/>
      <c r="AA132" s="9"/>
      <c r="AB132" s="9"/>
    </row>
    <row r="133" ht="15.75" customHeight="1" spans="1:28">
      <c r="A133" s="9"/>
      <c r="B133" s="9"/>
      <c r="C133" s="9"/>
      <c r="D133" s="9"/>
      <c r="E133" s="9"/>
      <c r="F133" s="9"/>
      <c r="G133" s="36"/>
      <c r="H133" s="37"/>
      <c r="I133" s="37"/>
      <c r="J133" s="9"/>
      <c r="K133" s="9"/>
      <c r="L133" s="9"/>
      <c r="M133" s="9"/>
      <c r="N133" s="9"/>
      <c r="O133" s="9"/>
      <c r="P133" s="9"/>
      <c r="Q133" s="9"/>
      <c r="R133" s="9"/>
      <c r="S133" s="9"/>
      <c r="T133" s="9"/>
      <c r="U133" s="9"/>
      <c r="V133" s="9"/>
      <c r="W133" s="9"/>
      <c r="X133" s="9"/>
      <c r="Y133" s="9"/>
      <c r="Z133" s="9"/>
      <c r="AA133" s="9"/>
      <c r="AB133" s="9"/>
    </row>
    <row r="134" ht="15.75" customHeight="1" spans="1:28">
      <c r="A134" s="9"/>
      <c r="B134" s="9"/>
      <c r="C134" s="9"/>
      <c r="D134" s="9"/>
      <c r="E134" s="9"/>
      <c r="F134" s="9"/>
      <c r="G134" s="36"/>
      <c r="H134" s="37"/>
      <c r="I134" s="37"/>
      <c r="J134" s="9"/>
      <c r="K134" s="9"/>
      <c r="L134" s="9"/>
      <c r="M134" s="9"/>
      <c r="N134" s="9"/>
      <c r="O134" s="9"/>
      <c r="P134" s="9"/>
      <c r="Q134" s="9"/>
      <c r="R134" s="9"/>
      <c r="S134" s="9"/>
      <c r="T134" s="9"/>
      <c r="U134" s="9"/>
      <c r="V134" s="9"/>
      <c r="W134" s="9"/>
      <c r="X134" s="9"/>
      <c r="Y134" s="9"/>
      <c r="Z134" s="9"/>
      <c r="AA134" s="9"/>
      <c r="AB134" s="9"/>
    </row>
    <row r="135" ht="15.75" customHeight="1" spans="1:28">
      <c r="A135" s="9"/>
      <c r="B135" s="9"/>
      <c r="C135" s="9"/>
      <c r="D135" s="9"/>
      <c r="E135" s="9"/>
      <c r="F135" s="9"/>
      <c r="G135" s="36"/>
      <c r="H135" s="37"/>
      <c r="I135" s="37"/>
      <c r="J135" s="9"/>
      <c r="K135" s="9"/>
      <c r="L135" s="9"/>
      <c r="M135" s="9"/>
      <c r="N135" s="9"/>
      <c r="O135" s="9"/>
      <c r="P135" s="9"/>
      <c r="Q135" s="9"/>
      <c r="R135" s="9"/>
      <c r="S135" s="9"/>
      <c r="T135" s="9"/>
      <c r="U135" s="9"/>
      <c r="V135" s="9"/>
      <c r="W135" s="9"/>
      <c r="X135" s="9"/>
      <c r="Y135" s="9"/>
      <c r="Z135" s="9"/>
      <c r="AA135" s="9"/>
      <c r="AB135" s="9"/>
    </row>
    <row r="136" ht="15.75" customHeight="1" spans="1:28">
      <c r="A136" s="9"/>
      <c r="B136" s="9"/>
      <c r="C136" s="9"/>
      <c r="D136" s="9"/>
      <c r="E136" s="9"/>
      <c r="F136" s="9"/>
      <c r="G136" s="36"/>
      <c r="H136" s="37"/>
      <c r="I136" s="37"/>
      <c r="J136" s="9"/>
      <c r="K136" s="9"/>
      <c r="L136" s="9"/>
      <c r="M136" s="9"/>
      <c r="N136" s="9"/>
      <c r="O136" s="9"/>
      <c r="P136" s="9"/>
      <c r="Q136" s="9"/>
      <c r="R136" s="9"/>
      <c r="S136" s="9"/>
      <c r="T136" s="9"/>
      <c r="U136" s="9"/>
      <c r="V136" s="9"/>
      <c r="W136" s="9"/>
      <c r="X136" s="9"/>
      <c r="Y136" s="9"/>
      <c r="Z136" s="9"/>
      <c r="AA136" s="9"/>
      <c r="AB136" s="9"/>
    </row>
    <row r="137" ht="15.75" customHeight="1" spans="1:28">
      <c r="A137" s="9"/>
      <c r="B137" s="9"/>
      <c r="C137" s="9"/>
      <c r="D137" s="9"/>
      <c r="E137" s="9"/>
      <c r="F137" s="9"/>
      <c r="G137" s="36"/>
      <c r="H137" s="37"/>
      <c r="I137" s="37"/>
      <c r="J137" s="9"/>
      <c r="K137" s="9"/>
      <c r="L137" s="9"/>
      <c r="M137" s="9"/>
      <c r="N137" s="9"/>
      <c r="O137" s="9"/>
      <c r="P137" s="9"/>
      <c r="Q137" s="9"/>
      <c r="R137" s="9"/>
      <c r="S137" s="9"/>
      <c r="T137" s="9"/>
      <c r="U137" s="9"/>
      <c r="V137" s="9"/>
      <c r="W137" s="9"/>
      <c r="X137" s="9"/>
      <c r="Y137" s="9"/>
      <c r="Z137" s="9"/>
      <c r="AA137" s="9"/>
      <c r="AB137" s="9"/>
    </row>
    <row r="138" ht="15.75" customHeight="1" spans="1:28">
      <c r="A138" s="9"/>
      <c r="B138" s="9"/>
      <c r="C138" s="9"/>
      <c r="D138" s="9"/>
      <c r="E138" s="9"/>
      <c r="F138" s="9"/>
      <c r="G138" s="36"/>
      <c r="H138" s="37"/>
      <c r="I138" s="37"/>
      <c r="J138" s="9"/>
      <c r="K138" s="9"/>
      <c r="L138" s="9"/>
      <c r="M138" s="9"/>
      <c r="N138" s="9"/>
      <c r="O138" s="9"/>
      <c r="P138" s="9"/>
      <c r="Q138" s="9"/>
      <c r="R138" s="9"/>
      <c r="S138" s="9"/>
      <c r="T138" s="9"/>
      <c r="U138" s="9"/>
      <c r="V138" s="9"/>
      <c r="W138" s="9"/>
      <c r="X138" s="9"/>
      <c r="Y138" s="9"/>
      <c r="Z138" s="9"/>
      <c r="AA138" s="9"/>
      <c r="AB138" s="9"/>
    </row>
    <row r="139" ht="15.75" customHeight="1" spans="1:28">
      <c r="A139" s="9"/>
      <c r="B139" s="9"/>
      <c r="C139" s="9"/>
      <c r="D139" s="9"/>
      <c r="E139" s="9"/>
      <c r="F139" s="9"/>
      <c r="G139" s="36"/>
      <c r="H139" s="37"/>
      <c r="I139" s="37"/>
      <c r="J139" s="9"/>
      <c r="K139" s="9"/>
      <c r="L139" s="9"/>
      <c r="M139" s="9"/>
      <c r="N139" s="9"/>
      <c r="O139" s="9"/>
      <c r="P139" s="9"/>
      <c r="Q139" s="9"/>
      <c r="R139" s="9"/>
      <c r="S139" s="9"/>
      <c r="T139" s="9"/>
      <c r="U139" s="9"/>
      <c r="V139" s="9"/>
      <c r="W139" s="9"/>
      <c r="X139" s="9"/>
      <c r="Y139" s="9"/>
      <c r="Z139" s="9"/>
      <c r="AA139" s="9"/>
      <c r="AB139" s="9"/>
    </row>
    <row r="140" ht="15.75" customHeight="1" spans="1:28">
      <c r="A140" s="9"/>
      <c r="B140" s="9"/>
      <c r="C140" s="9"/>
      <c r="D140" s="9"/>
      <c r="E140" s="9"/>
      <c r="F140" s="9"/>
      <c r="G140" s="36"/>
      <c r="H140" s="37"/>
      <c r="I140" s="37"/>
      <c r="J140" s="9"/>
      <c r="K140" s="9"/>
      <c r="L140" s="9"/>
      <c r="M140" s="9"/>
      <c r="N140" s="9"/>
      <c r="O140" s="9"/>
      <c r="P140" s="9"/>
      <c r="Q140" s="9"/>
      <c r="R140" s="9"/>
      <c r="S140" s="9"/>
      <c r="T140" s="9"/>
      <c r="U140" s="9"/>
      <c r="V140" s="9"/>
      <c r="W140" s="9"/>
      <c r="X140" s="9"/>
      <c r="Y140" s="9"/>
      <c r="Z140" s="9"/>
      <c r="AA140" s="9"/>
      <c r="AB140" s="9"/>
    </row>
    <row r="141" ht="15.75" customHeight="1" spans="1:28">
      <c r="A141" s="9"/>
      <c r="B141" s="9"/>
      <c r="C141" s="9"/>
      <c r="D141" s="9"/>
      <c r="E141" s="9"/>
      <c r="F141" s="9"/>
      <c r="G141" s="36"/>
      <c r="H141" s="37"/>
      <c r="I141" s="37"/>
      <c r="J141" s="9"/>
      <c r="K141" s="9"/>
      <c r="L141" s="9"/>
      <c r="M141" s="9"/>
      <c r="N141" s="9"/>
      <c r="O141" s="9"/>
      <c r="P141" s="9"/>
      <c r="Q141" s="9"/>
      <c r="R141" s="9"/>
      <c r="S141" s="9"/>
      <c r="T141" s="9"/>
      <c r="U141" s="9"/>
      <c r="V141" s="9"/>
      <c r="W141" s="9"/>
      <c r="X141" s="9"/>
      <c r="Y141" s="9"/>
      <c r="Z141" s="9"/>
      <c r="AA141" s="9"/>
      <c r="AB141" s="9"/>
    </row>
    <row r="142" ht="15.75" customHeight="1" spans="1:28">
      <c r="A142" s="9"/>
      <c r="B142" s="9"/>
      <c r="C142" s="9"/>
      <c r="D142" s="9"/>
      <c r="E142" s="9"/>
      <c r="F142" s="9"/>
      <c r="G142" s="36"/>
      <c r="H142" s="37"/>
      <c r="I142" s="37"/>
      <c r="J142" s="9"/>
      <c r="K142" s="9"/>
      <c r="L142" s="9"/>
      <c r="M142" s="9"/>
      <c r="N142" s="9"/>
      <c r="O142" s="9"/>
      <c r="P142" s="9"/>
      <c r="Q142" s="9"/>
      <c r="R142" s="9"/>
      <c r="S142" s="9"/>
      <c r="T142" s="9"/>
      <c r="U142" s="9"/>
      <c r="V142" s="9"/>
      <c r="W142" s="9"/>
      <c r="X142" s="9"/>
      <c r="Y142" s="9"/>
      <c r="Z142" s="9"/>
      <c r="AA142" s="9"/>
      <c r="AB142" s="9"/>
    </row>
    <row r="143" ht="15.75" customHeight="1" spans="1:28">
      <c r="A143" s="9"/>
      <c r="B143" s="9"/>
      <c r="C143" s="9"/>
      <c r="D143" s="9"/>
      <c r="E143" s="9"/>
      <c r="F143" s="9"/>
      <c r="G143" s="36"/>
      <c r="H143" s="37"/>
      <c r="I143" s="37"/>
      <c r="J143" s="9"/>
      <c r="K143" s="9"/>
      <c r="L143" s="9"/>
      <c r="M143" s="9"/>
      <c r="N143" s="9"/>
      <c r="O143" s="9"/>
      <c r="P143" s="9"/>
      <c r="Q143" s="9"/>
      <c r="R143" s="9"/>
      <c r="S143" s="9"/>
      <c r="T143" s="9"/>
      <c r="U143" s="9"/>
      <c r="V143" s="9"/>
      <c r="W143" s="9"/>
      <c r="X143" s="9"/>
      <c r="Y143" s="9"/>
      <c r="Z143" s="9"/>
      <c r="AA143" s="9"/>
      <c r="AB143" s="9"/>
    </row>
    <row r="144" ht="15.75" customHeight="1" spans="1:28">
      <c r="A144" s="9"/>
      <c r="B144" s="9"/>
      <c r="C144" s="9"/>
      <c r="D144" s="9"/>
      <c r="E144" s="9"/>
      <c r="F144" s="9"/>
      <c r="G144" s="36"/>
      <c r="H144" s="37"/>
      <c r="I144" s="37"/>
      <c r="J144" s="9"/>
      <c r="K144" s="9"/>
      <c r="L144" s="9"/>
      <c r="M144" s="9"/>
      <c r="N144" s="9"/>
      <c r="O144" s="9"/>
      <c r="P144" s="9"/>
      <c r="Q144" s="9"/>
      <c r="R144" s="9"/>
      <c r="S144" s="9"/>
      <c r="T144" s="9"/>
      <c r="U144" s="9"/>
      <c r="V144" s="9"/>
      <c r="W144" s="9"/>
      <c r="X144" s="9"/>
      <c r="Y144" s="9"/>
      <c r="Z144" s="9"/>
      <c r="AA144" s="9"/>
      <c r="AB144" s="9"/>
    </row>
    <row r="145" ht="15.75" customHeight="1" spans="1:28">
      <c r="A145" s="9"/>
      <c r="B145" s="9"/>
      <c r="C145" s="9"/>
      <c r="D145" s="9"/>
      <c r="E145" s="9"/>
      <c r="F145" s="9"/>
      <c r="G145" s="36"/>
      <c r="H145" s="37"/>
      <c r="I145" s="37"/>
      <c r="J145" s="9"/>
      <c r="K145" s="9"/>
      <c r="L145" s="9"/>
      <c r="M145" s="9"/>
      <c r="N145" s="9"/>
      <c r="O145" s="9"/>
      <c r="P145" s="9"/>
      <c r="Q145" s="9"/>
      <c r="R145" s="9"/>
      <c r="S145" s="9"/>
      <c r="T145" s="9"/>
      <c r="U145" s="9"/>
      <c r="V145" s="9"/>
      <c r="W145" s="9"/>
      <c r="X145" s="9"/>
      <c r="Y145" s="9"/>
      <c r="Z145" s="9"/>
      <c r="AA145" s="9"/>
      <c r="AB145" s="9"/>
    </row>
    <row r="146" ht="15.75" customHeight="1" spans="1:28">
      <c r="A146" s="9"/>
      <c r="B146" s="9"/>
      <c r="C146" s="9"/>
      <c r="D146" s="9"/>
      <c r="E146" s="9"/>
      <c r="F146" s="9"/>
      <c r="G146" s="36"/>
      <c r="H146" s="37"/>
      <c r="I146" s="37"/>
      <c r="J146" s="9"/>
      <c r="K146" s="9"/>
      <c r="L146" s="9"/>
      <c r="M146" s="9"/>
      <c r="N146" s="9"/>
      <c r="O146" s="9"/>
      <c r="P146" s="9"/>
      <c r="Q146" s="9"/>
      <c r="R146" s="9"/>
      <c r="S146" s="9"/>
      <c r="T146" s="9"/>
      <c r="U146" s="9"/>
      <c r="V146" s="9"/>
      <c r="W146" s="9"/>
      <c r="X146" s="9"/>
      <c r="Y146" s="9"/>
      <c r="Z146" s="9"/>
      <c r="AA146" s="9"/>
      <c r="AB146" s="9"/>
    </row>
    <row r="147" ht="15.75" customHeight="1" spans="1:28">
      <c r="A147" s="9"/>
      <c r="B147" s="9"/>
      <c r="C147" s="9"/>
      <c r="D147" s="9"/>
      <c r="E147" s="9"/>
      <c r="F147" s="9"/>
      <c r="G147" s="36"/>
      <c r="H147" s="37"/>
      <c r="I147" s="37"/>
      <c r="J147" s="9"/>
      <c r="K147" s="9"/>
      <c r="L147" s="9"/>
      <c r="M147" s="9"/>
      <c r="N147" s="9"/>
      <c r="O147" s="9"/>
      <c r="P147" s="9"/>
      <c r="Q147" s="9"/>
      <c r="R147" s="9"/>
      <c r="S147" s="9"/>
      <c r="T147" s="9"/>
      <c r="U147" s="9"/>
      <c r="V147" s="9"/>
      <c r="W147" s="9"/>
      <c r="X147" s="9"/>
      <c r="Y147" s="9"/>
      <c r="Z147" s="9"/>
      <c r="AA147" s="9"/>
      <c r="AB147" s="9"/>
    </row>
    <row r="148" ht="15.75" customHeight="1" spans="1:28">
      <c r="A148" s="9"/>
      <c r="B148" s="9"/>
      <c r="C148" s="9"/>
      <c r="D148" s="9"/>
      <c r="E148" s="9"/>
      <c r="F148" s="9"/>
      <c r="G148" s="36"/>
      <c r="H148" s="37"/>
      <c r="I148" s="37"/>
      <c r="J148" s="9"/>
      <c r="K148" s="9"/>
      <c r="L148" s="9"/>
      <c r="M148" s="9"/>
      <c r="N148" s="9"/>
      <c r="O148" s="9"/>
      <c r="P148" s="9"/>
      <c r="Q148" s="9"/>
      <c r="R148" s="9"/>
      <c r="S148" s="9"/>
      <c r="T148" s="9"/>
      <c r="U148" s="9"/>
      <c r="V148" s="9"/>
      <c r="W148" s="9"/>
      <c r="X148" s="9"/>
      <c r="Y148" s="9"/>
      <c r="Z148" s="9"/>
      <c r="AA148" s="9"/>
      <c r="AB148" s="9"/>
    </row>
    <row r="149" ht="15.75" customHeight="1" spans="1:28">
      <c r="A149" s="9"/>
      <c r="B149" s="9"/>
      <c r="C149" s="9"/>
      <c r="D149" s="9"/>
      <c r="E149" s="9"/>
      <c r="F149" s="9"/>
      <c r="G149" s="36"/>
      <c r="H149" s="37"/>
      <c r="I149" s="37"/>
      <c r="J149" s="9"/>
      <c r="K149" s="9"/>
      <c r="L149" s="9"/>
      <c r="M149" s="9"/>
      <c r="N149" s="9"/>
      <c r="O149" s="9"/>
      <c r="P149" s="9"/>
      <c r="Q149" s="9"/>
      <c r="R149" s="9"/>
      <c r="S149" s="9"/>
      <c r="T149" s="9"/>
      <c r="U149" s="9"/>
      <c r="V149" s="9"/>
      <c r="W149" s="9"/>
      <c r="X149" s="9"/>
      <c r="Y149" s="9"/>
      <c r="Z149" s="9"/>
      <c r="AA149" s="9"/>
      <c r="AB149" s="9"/>
    </row>
    <row r="150" ht="15.75" customHeight="1" spans="1:28">
      <c r="A150" s="9"/>
      <c r="B150" s="9"/>
      <c r="C150" s="9"/>
      <c r="D150" s="9"/>
      <c r="E150" s="9"/>
      <c r="F150" s="9"/>
      <c r="G150" s="36"/>
      <c r="H150" s="37"/>
      <c r="I150" s="37"/>
      <c r="J150" s="9"/>
      <c r="K150" s="9"/>
      <c r="L150" s="9"/>
      <c r="M150" s="9"/>
      <c r="N150" s="9"/>
      <c r="O150" s="9"/>
      <c r="P150" s="9"/>
      <c r="Q150" s="9"/>
      <c r="R150" s="9"/>
      <c r="S150" s="9"/>
      <c r="T150" s="9"/>
      <c r="U150" s="9"/>
      <c r="V150" s="9"/>
      <c r="W150" s="9"/>
      <c r="X150" s="9"/>
      <c r="Y150" s="9"/>
      <c r="Z150" s="9"/>
      <c r="AA150" s="9"/>
      <c r="AB150" s="9"/>
    </row>
    <row r="151" ht="15.75" customHeight="1" spans="1:28">
      <c r="A151" s="9"/>
      <c r="B151" s="9"/>
      <c r="C151" s="9"/>
      <c r="D151" s="9"/>
      <c r="E151" s="9"/>
      <c r="F151" s="9"/>
      <c r="G151" s="36"/>
      <c r="H151" s="37"/>
      <c r="I151" s="37"/>
      <c r="J151" s="9"/>
      <c r="K151" s="9"/>
      <c r="L151" s="9"/>
      <c r="M151" s="9"/>
      <c r="N151" s="9"/>
      <c r="O151" s="9"/>
      <c r="P151" s="9"/>
      <c r="Q151" s="9"/>
      <c r="R151" s="9"/>
      <c r="S151" s="9"/>
      <c r="T151" s="9"/>
      <c r="U151" s="9"/>
      <c r="V151" s="9"/>
      <c r="W151" s="9"/>
      <c r="X151" s="9"/>
      <c r="Y151" s="9"/>
      <c r="Z151" s="9"/>
      <c r="AA151" s="9"/>
      <c r="AB151" s="9"/>
    </row>
    <row r="152" ht="15.75" customHeight="1" spans="1:28">
      <c r="A152" s="9"/>
      <c r="B152" s="9"/>
      <c r="C152" s="9"/>
      <c r="D152" s="9"/>
      <c r="E152" s="9"/>
      <c r="F152" s="9"/>
      <c r="G152" s="36"/>
      <c r="H152" s="37"/>
      <c r="I152" s="37"/>
      <c r="J152" s="9"/>
      <c r="K152" s="9"/>
      <c r="L152" s="9"/>
      <c r="M152" s="9"/>
      <c r="N152" s="9"/>
      <c r="O152" s="9"/>
      <c r="P152" s="9"/>
      <c r="Q152" s="9"/>
      <c r="R152" s="9"/>
      <c r="S152" s="9"/>
      <c r="T152" s="9"/>
      <c r="U152" s="9"/>
      <c r="V152" s="9"/>
      <c r="W152" s="9"/>
      <c r="X152" s="9"/>
      <c r="Y152" s="9"/>
      <c r="Z152" s="9"/>
      <c r="AA152" s="9"/>
      <c r="AB152" s="9"/>
    </row>
    <row r="153" ht="15.75" customHeight="1" spans="1:28">
      <c r="A153" s="9"/>
      <c r="B153" s="9"/>
      <c r="C153" s="9"/>
      <c r="D153" s="9"/>
      <c r="E153" s="9"/>
      <c r="F153" s="9"/>
      <c r="G153" s="36"/>
      <c r="H153" s="37"/>
      <c r="I153" s="37"/>
      <c r="J153" s="9"/>
      <c r="K153" s="9"/>
      <c r="L153" s="9"/>
      <c r="M153" s="9"/>
      <c r="N153" s="9"/>
      <c r="O153" s="9"/>
      <c r="P153" s="9"/>
      <c r="Q153" s="9"/>
      <c r="R153" s="9"/>
      <c r="S153" s="9"/>
      <c r="T153" s="9"/>
      <c r="U153" s="9"/>
      <c r="V153" s="9"/>
      <c r="W153" s="9"/>
      <c r="X153" s="9"/>
      <c r="Y153" s="9"/>
      <c r="Z153" s="9"/>
      <c r="AA153" s="9"/>
      <c r="AB153" s="9"/>
    </row>
    <row r="154" ht="15.75" customHeight="1" spans="1:28">
      <c r="A154" s="9"/>
      <c r="B154" s="9"/>
      <c r="C154" s="9"/>
      <c r="D154" s="9"/>
      <c r="E154" s="9"/>
      <c r="F154" s="9"/>
      <c r="G154" s="36"/>
      <c r="H154" s="37"/>
      <c r="I154" s="37"/>
      <c r="J154" s="9"/>
      <c r="K154" s="9"/>
      <c r="L154" s="9"/>
      <c r="M154" s="9"/>
      <c r="N154" s="9"/>
      <c r="O154" s="9"/>
      <c r="P154" s="9"/>
      <c r="Q154" s="9"/>
      <c r="R154" s="9"/>
      <c r="S154" s="9"/>
      <c r="T154" s="9"/>
      <c r="U154" s="9"/>
      <c r="V154" s="9"/>
      <c r="W154" s="9"/>
      <c r="X154" s="9"/>
      <c r="Y154" s="9"/>
      <c r="Z154" s="9"/>
      <c r="AA154" s="9"/>
      <c r="AB154" s="9"/>
    </row>
    <row r="155" ht="15.75" customHeight="1" spans="1:28">
      <c r="A155" s="9"/>
      <c r="B155" s="9"/>
      <c r="C155" s="9"/>
      <c r="D155" s="9"/>
      <c r="E155" s="9"/>
      <c r="F155" s="9"/>
      <c r="G155" s="36"/>
      <c r="H155" s="37"/>
      <c r="I155" s="37"/>
      <c r="J155" s="9"/>
      <c r="K155" s="9"/>
      <c r="L155" s="9"/>
      <c r="M155" s="9"/>
      <c r="N155" s="9"/>
      <c r="O155" s="9"/>
      <c r="P155" s="9"/>
      <c r="Q155" s="9"/>
      <c r="R155" s="9"/>
      <c r="S155" s="9"/>
      <c r="T155" s="9"/>
      <c r="U155" s="9"/>
      <c r="V155" s="9"/>
      <c r="W155" s="9"/>
      <c r="X155" s="9"/>
      <c r="Y155" s="9"/>
      <c r="Z155" s="9"/>
      <c r="AA155" s="9"/>
      <c r="AB155" s="9"/>
    </row>
    <row r="156" ht="15.75" customHeight="1" spans="1:28">
      <c r="A156" s="9"/>
      <c r="B156" s="9"/>
      <c r="C156" s="9"/>
      <c r="D156" s="9"/>
      <c r="E156" s="9"/>
      <c r="F156" s="9"/>
      <c r="G156" s="36"/>
      <c r="H156" s="37"/>
      <c r="I156" s="37"/>
      <c r="J156" s="9"/>
      <c r="K156" s="9"/>
      <c r="L156" s="9"/>
      <c r="M156" s="9"/>
      <c r="N156" s="9"/>
      <c r="O156" s="9"/>
      <c r="P156" s="9"/>
      <c r="Q156" s="9"/>
      <c r="R156" s="9"/>
      <c r="S156" s="9"/>
      <c r="T156" s="9"/>
      <c r="U156" s="9"/>
      <c r="V156" s="9"/>
      <c r="W156" s="9"/>
      <c r="X156" s="9"/>
      <c r="Y156" s="9"/>
      <c r="Z156" s="9"/>
      <c r="AA156" s="9"/>
      <c r="AB156" s="9"/>
    </row>
    <row r="157" ht="15.75" customHeight="1" spans="1:28">
      <c r="A157" s="9"/>
      <c r="B157" s="9"/>
      <c r="C157" s="9"/>
      <c r="D157" s="9"/>
      <c r="E157" s="9"/>
      <c r="F157" s="9"/>
      <c r="G157" s="36"/>
      <c r="H157" s="37"/>
      <c r="I157" s="37"/>
      <c r="J157" s="9"/>
      <c r="K157" s="9"/>
      <c r="L157" s="9"/>
      <c r="M157" s="9"/>
      <c r="N157" s="9"/>
      <c r="O157" s="9"/>
      <c r="P157" s="9"/>
      <c r="Q157" s="9"/>
      <c r="R157" s="9"/>
      <c r="S157" s="9"/>
      <c r="T157" s="9"/>
      <c r="U157" s="9"/>
      <c r="V157" s="9"/>
      <c r="W157" s="9"/>
      <c r="X157" s="9"/>
      <c r="Y157" s="9"/>
      <c r="Z157" s="9"/>
      <c r="AA157" s="9"/>
      <c r="AB157" s="9"/>
    </row>
    <row r="158" ht="15.75" customHeight="1" spans="1:28">
      <c r="A158" s="9"/>
      <c r="B158" s="9"/>
      <c r="C158" s="9"/>
      <c r="D158" s="9"/>
      <c r="E158" s="9"/>
      <c r="F158" s="9"/>
      <c r="G158" s="36"/>
      <c r="H158" s="37"/>
      <c r="I158" s="37"/>
      <c r="J158" s="9"/>
      <c r="K158" s="9"/>
      <c r="L158" s="9"/>
      <c r="M158" s="9"/>
      <c r="N158" s="9"/>
      <c r="O158" s="9"/>
      <c r="P158" s="9"/>
      <c r="Q158" s="9"/>
      <c r="R158" s="9"/>
      <c r="S158" s="9"/>
      <c r="T158" s="9"/>
      <c r="U158" s="9"/>
      <c r="V158" s="9"/>
      <c r="W158" s="9"/>
      <c r="X158" s="9"/>
      <c r="Y158" s="9"/>
      <c r="Z158" s="9"/>
      <c r="AA158" s="9"/>
      <c r="AB158" s="9"/>
    </row>
    <row r="159" ht="15.75" customHeight="1" spans="1:28">
      <c r="A159" s="9"/>
      <c r="B159" s="9"/>
      <c r="C159" s="9"/>
      <c r="D159" s="9"/>
      <c r="E159" s="9"/>
      <c r="F159" s="9"/>
      <c r="G159" s="36"/>
      <c r="H159" s="37"/>
      <c r="I159" s="37"/>
      <c r="J159" s="9"/>
      <c r="K159" s="9"/>
      <c r="L159" s="9"/>
      <c r="M159" s="9"/>
      <c r="N159" s="9"/>
      <c r="O159" s="9"/>
      <c r="P159" s="9"/>
      <c r="Q159" s="9"/>
      <c r="R159" s="9"/>
      <c r="S159" s="9"/>
      <c r="T159" s="9"/>
      <c r="U159" s="9"/>
      <c r="V159" s="9"/>
      <c r="W159" s="9"/>
      <c r="X159" s="9"/>
      <c r="Y159" s="9"/>
      <c r="Z159" s="9"/>
      <c r="AA159" s="9"/>
      <c r="AB159" s="9"/>
    </row>
    <row r="160" ht="15.75" customHeight="1" spans="1:28">
      <c r="A160" s="9"/>
      <c r="B160" s="9"/>
      <c r="C160" s="9"/>
      <c r="D160" s="9"/>
      <c r="E160" s="9"/>
      <c r="F160" s="9"/>
      <c r="G160" s="36"/>
      <c r="H160" s="37"/>
      <c r="I160" s="37"/>
      <c r="J160" s="9"/>
      <c r="K160" s="9"/>
      <c r="L160" s="9"/>
      <c r="M160" s="9"/>
      <c r="N160" s="9"/>
      <c r="O160" s="9"/>
      <c r="P160" s="9"/>
      <c r="Q160" s="9"/>
      <c r="R160" s="9"/>
      <c r="S160" s="9"/>
      <c r="T160" s="9"/>
      <c r="U160" s="9"/>
      <c r="V160" s="9"/>
      <c r="W160" s="9"/>
      <c r="X160" s="9"/>
      <c r="Y160" s="9"/>
      <c r="Z160" s="9"/>
      <c r="AA160" s="9"/>
      <c r="AB160" s="9"/>
    </row>
    <row r="161" ht="15.75" customHeight="1" spans="1:28">
      <c r="A161" s="9"/>
      <c r="B161" s="9"/>
      <c r="C161" s="9"/>
      <c r="D161" s="9"/>
      <c r="E161" s="9"/>
      <c r="F161" s="9"/>
      <c r="G161" s="36"/>
      <c r="H161" s="37"/>
      <c r="I161" s="37"/>
      <c r="J161" s="9"/>
      <c r="K161" s="9"/>
      <c r="L161" s="9"/>
      <c r="M161" s="9"/>
      <c r="N161" s="9"/>
      <c r="O161" s="9"/>
      <c r="P161" s="9"/>
      <c r="Q161" s="9"/>
      <c r="R161" s="9"/>
      <c r="S161" s="9"/>
      <c r="T161" s="9"/>
      <c r="U161" s="9"/>
      <c r="V161" s="9"/>
      <c r="W161" s="9"/>
      <c r="X161" s="9"/>
      <c r="Y161" s="9"/>
      <c r="Z161" s="9"/>
      <c r="AA161" s="9"/>
      <c r="AB161" s="9"/>
    </row>
    <row r="162" ht="15.75" customHeight="1" spans="1:28">
      <c r="A162" s="9"/>
      <c r="B162" s="9"/>
      <c r="C162" s="9"/>
      <c r="D162" s="9"/>
      <c r="E162" s="9"/>
      <c r="F162" s="9"/>
      <c r="G162" s="36"/>
      <c r="H162" s="37"/>
      <c r="I162" s="37"/>
      <c r="J162" s="9"/>
      <c r="K162" s="9"/>
      <c r="L162" s="9"/>
      <c r="M162" s="9"/>
      <c r="N162" s="9"/>
      <c r="O162" s="9"/>
      <c r="P162" s="9"/>
      <c r="Q162" s="9"/>
      <c r="R162" s="9"/>
      <c r="S162" s="9"/>
      <c r="T162" s="9"/>
      <c r="U162" s="9"/>
      <c r="V162" s="9"/>
      <c r="W162" s="9"/>
      <c r="X162" s="9"/>
      <c r="Y162" s="9"/>
      <c r="Z162" s="9"/>
      <c r="AA162" s="9"/>
      <c r="AB162" s="9"/>
    </row>
    <row r="163" ht="15.75" customHeight="1" spans="1:28">
      <c r="A163" s="9"/>
      <c r="B163" s="9"/>
      <c r="C163" s="9"/>
      <c r="D163" s="9"/>
      <c r="E163" s="9"/>
      <c r="F163" s="9"/>
      <c r="G163" s="36"/>
      <c r="H163" s="37"/>
      <c r="I163" s="37"/>
      <c r="J163" s="9"/>
      <c r="K163" s="9"/>
      <c r="L163" s="9"/>
      <c r="M163" s="9"/>
      <c r="N163" s="9"/>
      <c r="O163" s="9"/>
      <c r="P163" s="9"/>
      <c r="Q163" s="9"/>
      <c r="R163" s="9"/>
      <c r="S163" s="9"/>
      <c r="T163" s="9"/>
      <c r="U163" s="9"/>
      <c r="V163" s="9"/>
      <c r="W163" s="9"/>
      <c r="X163" s="9"/>
      <c r="Y163" s="9"/>
      <c r="Z163" s="9"/>
      <c r="AA163" s="9"/>
      <c r="AB163" s="9"/>
    </row>
    <row r="164" ht="15.75" customHeight="1" spans="1:28">
      <c r="A164" s="9"/>
      <c r="B164" s="9"/>
      <c r="C164" s="9"/>
      <c r="D164" s="9"/>
      <c r="E164" s="9"/>
      <c r="F164" s="9"/>
      <c r="G164" s="36"/>
      <c r="H164" s="37"/>
      <c r="I164" s="37"/>
      <c r="J164" s="9"/>
      <c r="K164" s="9"/>
      <c r="L164" s="9"/>
      <c r="M164" s="9"/>
      <c r="N164" s="9"/>
      <c r="O164" s="9"/>
      <c r="P164" s="9"/>
      <c r="Q164" s="9"/>
      <c r="R164" s="9"/>
      <c r="S164" s="9"/>
      <c r="T164" s="9"/>
      <c r="U164" s="9"/>
      <c r="V164" s="9"/>
      <c r="W164" s="9"/>
      <c r="X164" s="9"/>
      <c r="Y164" s="9"/>
      <c r="Z164" s="9"/>
      <c r="AA164" s="9"/>
      <c r="AB164" s="9"/>
    </row>
    <row r="165" ht="15.75" customHeight="1" spans="1:28">
      <c r="A165" s="9"/>
      <c r="B165" s="9"/>
      <c r="C165" s="9"/>
      <c r="D165" s="9"/>
      <c r="E165" s="9"/>
      <c r="F165" s="9"/>
      <c r="G165" s="36"/>
      <c r="H165" s="37"/>
      <c r="I165" s="37"/>
      <c r="J165" s="9"/>
      <c r="K165" s="9"/>
      <c r="L165" s="9"/>
      <c r="M165" s="9"/>
      <c r="N165" s="9"/>
      <c r="O165" s="9"/>
      <c r="P165" s="9"/>
      <c r="Q165" s="9"/>
      <c r="R165" s="9"/>
      <c r="S165" s="9"/>
      <c r="T165" s="9"/>
      <c r="U165" s="9"/>
      <c r="V165" s="9"/>
      <c r="W165" s="9"/>
      <c r="X165" s="9"/>
      <c r="Y165" s="9"/>
      <c r="Z165" s="9"/>
      <c r="AA165" s="9"/>
      <c r="AB165" s="9"/>
    </row>
    <row r="166" ht="15.75" customHeight="1" spans="1:28">
      <c r="A166" s="9"/>
      <c r="B166" s="9"/>
      <c r="C166" s="9"/>
      <c r="D166" s="9"/>
      <c r="E166" s="9"/>
      <c r="F166" s="9"/>
      <c r="G166" s="36"/>
      <c r="H166" s="37"/>
      <c r="I166" s="37"/>
      <c r="J166" s="9"/>
      <c r="K166" s="9"/>
      <c r="L166" s="9"/>
      <c r="M166" s="9"/>
      <c r="N166" s="9"/>
      <c r="O166" s="9"/>
      <c r="P166" s="9"/>
      <c r="Q166" s="9"/>
      <c r="R166" s="9"/>
      <c r="S166" s="9"/>
      <c r="T166" s="9"/>
      <c r="U166" s="9"/>
      <c r="V166" s="9"/>
      <c r="W166" s="9"/>
      <c r="X166" s="9"/>
      <c r="Y166" s="9"/>
      <c r="Z166" s="9"/>
      <c r="AA166" s="9"/>
      <c r="AB166" s="9"/>
    </row>
    <row r="167" ht="15.75" customHeight="1" spans="1:28">
      <c r="A167" s="9"/>
      <c r="B167" s="9"/>
      <c r="C167" s="9"/>
      <c r="D167" s="9"/>
      <c r="E167" s="9"/>
      <c r="F167" s="9"/>
      <c r="G167" s="36"/>
      <c r="H167" s="37"/>
      <c r="I167" s="37"/>
      <c r="J167" s="9"/>
      <c r="K167" s="9"/>
      <c r="L167" s="9"/>
      <c r="M167" s="9"/>
      <c r="N167" s="9"/>
      <c r="O167" s="9"/>
      <c r="P167" s="9"/>
      <c r="Q167" s="9"/>
      <c r="R167" s="9"/>
      <c r="S167" s="9"/>
      <c r="T167" s="9"/>
      <c r="U167" s="9"/>
      <c r="V167" s="9"/>
      <c r="W167" s="9"/>
      <c r="X167" s="9"/>
      <c r="Y167" s="9"/>
      <c r="Z167" s="9"/>
      <c r="AA167" s="9"/>
      <c r="AB167" s="9"/>
    </row>
    <row r="168" ht="15.75" customHeight="1" spans="1:28">
      <c r="A168" s="9"/>
      <c r="B168" s="9"/>
      <c r="C168" s="9"/>
      <c r="D168" s="9"/>
      <c r="E168" s="9"/>
      <c r="F168" s="9"/>
      <c r="G168" s="36"/>
      <c r="H168" s="37"/>
      <c r="I168" s="37"/>
      <c r="J168" s="9"/>
      <c r="K168" s="9"/>
      <c r="L168" s="9"/>
      <c r="M168" s="9"/>
      <c r="N168" s="9"/>
      <c r="O168" s="9"/>
      <c r="P168" s="9"/>
      <c r="Q168" s="9"/>
      <c r="R168" s="9"/>
      <c r="S168" s="9"/>
      <c r="T168" s="9"/>
      <c r="U168" s="9"/>
      <c r="V168" s="9"/>
      <c r="W168" s="9"/>
      <c r="X168" s="9"/>
      <c r="Y168" s="9"/>
      <c r="Z168" s="9"/>
      <c r="AA168" s="9"/>
      <c r="AB168" s="9"/>
    </row>
    <row r="169" ht="15.75" customHeight="1" spans="1:28">
      <c r="A169" s="9"/>
      <c r="B169" s="9"/>
      <c r="C169" s="9"/>
      <c r="D169" s="9"/>
      <c r="E169" s="9"/>
      <c r="F169" s="9"/>
      <c r="G169" s="36"/>
      <c r="H169" s="37"/>
      <c r="I169" s="37"/>
      <c r="J169" s="9"/>
      <c r="K169" s="9"/>
      <c r="L169" s="9"/>
      <c r="M169" s="9"/>
      <c r="N169" s="9"/>
      <c r="O169" s="9"/>
      <c r="P169" s="9"/>
      <c r="Q169" s="9"/>
      <c r="R169" s="9"/>
      <c r="S169" s="9"/>
      <c r="T169" s="9"/>
      <c r="U169" s="9"/>
      <c r="V169" s="9"/>
      <c r="W169" s="9"/>
      <c r="X169" s="9"/>
      <c r="Y169" s="9"/>
      <c r="Z169" s="9"/>
      <c r="AA169" s="9"/>
      <c r="AB169" s="9"/>
    </row>
    <row r="170" ht="15.75" customHeight="1" spans="1:28">
      <c r="A170" s="9"/>
      <c r="B170" s="9"/>
      <c r="C170" s="9"/>
      <c r="D170" s="9"/>
      <c r="E170" s="9"/>
      <c r="F170" s="9"/>
      <c r="G170" s="36"/>
      <c r="H170" s="37"/>
      <c r="I170" s="37"/>
      <c r="J170" s="9"/>
      <c r="K170" s="9"/>
      <c r="L170" s="9"/>
      <c r="M170" s="9"/>
      <c r="N170" s="9"/>
      <c r="O170" s="9"/>
      <c r="P170" s="9"/>
      <c r="Q170" s="9"/>
      <c r="R170" s="9"/>
      <c r="S170" s="9"/>
      <c r="T170" s="9"/>
      <c r="U170" s="9"/>
      <c r="V170" s="9"/>
      <c r="W170" s="9"/>
      <c r="X170" s="9"/>
      <c r="Y170" s="9"/>
      <c r="Z170" s="9"/>
      <c r="AA170" s="9"/>
      <c r="AB170" s="9"/>
    </row>
    <row r="171" ht="15.75" customHeight="1" spans="1:28">
      <c r="A171" s="9"/>
      <c r="B171" s="9"/>
      <c r="C171" s="9"/>
      <c r="D171" s="9"/>
      <c r="E171" s="9"/>
      <c r="F171" s="9"/>
      <c r="G171" s="36"/>
      <c r="H171" s="37"/>
      <c r="I171" s="37"/>
      <c r="J171" s="9"/>
      <c r="K171" s="9"/>
      <c r="L171" s="9"/>
      <c r="M171" s="9"/>
      <c r="N171" s="9"/>
      <c r="O171" s="9"/>
      <c r="P171" s="9"/>
      <c r="Q171" s="9"/>
      <c r="R171" s="9"/>
      <c r="S171" s="9"/>
      <c r="T171" s="9"/>
      <c r="U171" s="9"/>
      <c r="V171" s="9"/>
      <c r="W171" s="9"/>
      <c r="X171" s="9"/>
      <c r="Y171" s="9"/>
      <c r="Z171" s="9"/>
      <c r="AA171" s="9"/>
      <c r="AB171" s="9"/>
    </row>
    <row r="172" ht="15.75" customHeight="1" spans="1:28">
      <c r="A172" s="9"/>
      <c r="B172" s="9"/>
      <c r="C172" s="9"/>
      <c r="D172" s="9"/>
      <c r="E172" s="9"/>
      <c r="F172" s="9"/>
      <c r="G172" s="36"/>
      <c r="H172" s="37"/>
      <c r="I172" s="37"/>
      <c r="J172" s="9"/>
      <c r="K172" s="9"/>
      <c r="L172" s="9"/>
      <c r="M172" s="9"/>
      <c r="N172" s="9"/>
      <c r="O172" s="9"/>
      <c r="P172" s="9"/>
      <c r="Q172" s="9"/>
      <c r="R172" s="9"/>
      <c r="S172" s="9"/>
      <c r="T172" s="9"/>
      <c r="U172" s="9"/>
      <c r="V172" s="9"/>
      <c r="W172" s="9"/>
      <c r="X172" s="9"/>
      <c r="Y172" s="9"/>
      <c r="Z172" s="9"/>
      <c r="AA172" s="9"/>
      <c r="AB172" s="9"/>
    </row>
    <row r="173" ht="15.75" customHeight="1" spans="1:28">
      <c r="A173" s="9"/>
      <c r="B173" s="9"/>
      <c r="C173" s="9"/>
      <c r="D173" s="9"/>
      <c r="E173" s="9"/>
      <c r="F173" s="9"/>
      <c r="G173" s="36"/>
      <c r="H173" s="37"/>
      <c r="I173" s="37"/>
      <c r="J173" s="9"/>
      <c r="K173" s="9"/>
      <c r="L173" s="9"/>
      <c r="M173" s="9"/>
      <c r="N173" s="9"/>
      <c r="O173" s="9"/>
      <c r="P173" s="9"/>
      <c r="Q173" s="9"/>
      <c r="R173" s="9"/>
      <c r="S173" s="9"/>
      <c r="T173" s="9"/>
      <c r="U173" s="9"/>
      <c r="V173" s="9"/>
      <c r="W173" s="9"/>
      <c r="X173" s="9"/>
      <c r="Y173" s="9"/>
      <c r="Z173" s="9"/>
      <c r="AA173" s="9"/>
      <c r="AB173" s="9"/>
    </row>
    <row r="174" ht="15.75" customHeight="1" spans="1:28">
      <c r="A174" s="9"/>
      <c r="B174" s="9"/>
      <c r="C174" s="9"/>
      <c r="D174" s="9"/>
      <c r="E174" s="9"/>
      <c r="F174" s="9"/>
      <c r="G174" s="36"/>
      <c r="H174" s="37"/>
      <c r="I174" s="37"/>
      <c r="J174" s="9"/>
      <c r="K174" s="9"/>
      <c r="L174" s="9"/>
      <c r="M174" s="9"/>
      <c r="N174" s="9"/>
      <c r="O174" s="9"/>
      <c r="P174" s="9"/>
      <c r="Q174" s="9"/>
      <c r="R174" s="9"/>
      <c r="S174" s="9"/>
      <c r="T174" s="9"/>
      <c r="U174" s="9"/>
      <c r="V174" s="9"/>
      <c r="W174" s="9"/>
      <c r="X174" s="9"/>
      <c r="Y174" s="9"/>
      <c r="Z174" s="9"/>
      <c r="AA174" s="9"/>
      <c r="AB174" s="9"/>
    </row>
    <row r="175" ht="15.75" customHeight="1" spans="1:28">
      <c r="A175" s="9"/>
      <c r="B175" s="9"/>
      <c r="C175" s="9"/>
      <c r="D175" s="9"/>
      <c r="E175" s="9"/>
      <c r="F175" s="9"/>
      <c r="G175" s="36"/>
      <c r="H175" s="37"/>
      <c r="I175" s="37"/>
      <c r="J175" s="9"/>
      <c r="K175" s="9"/>
      <c r="L175" s="9"/>
      <c r="M175" s="9"/>
      <c r="N175" s="9"/>
      <c r="O175" s="9"/>
      <c r="P175" s="9"/>
      <c r="Q175" s="9"/>
      <c r="R175" s="9"/>
      <c r="S175" s="9"/>
      <c r="T175" s="9"/>
      <c r="U175" s="9"/>
      <c r="V175" s="9"/>
      <c r="W175" s="9"/>
      <c r="X175" s="9"/>
      <c r="Y175" s="9"/>
      <c r="Z175" s="9"/>
      <c r="AA175" s="9"/>
      <c r="AB175" s="9"/>
    </row>
    <row r="176" ht="15.75" customHeight="1" spans="1:28">
      <c r="A176" s="9"/>
      <c r="B176" s="9"/>
      <c r="C176" s="9"/>
      <c r="D176" s="9"/>
      <c r="E176" s="9"/>
      <c r="F176" s="9"/>
      <c r="G176" s="36"/>
      <c r="H176" s="37"/>
      <c r="I176" s="37"/>
      <c r="J176" s="9"/>
      <c r="K176" s="9"/>
      <c r="L176" s="9"/>
      <c r="M176" s="9"/>
      <c r="N176" s="9"/>
      <c r="O176" s="9"/>
      <c r="P176" s="9"/>
      <c r="Q176" s="9"/>
      <c r="R176" s="9"/>
      <c r="S176" s="9"/>
      <c r="T176" s="9"/>
      <c r="U176" s="9"/>
      <c r="V176" s="9"/>
      <c r="W176" s="9"/>
      <c r="X176" s="9"/>
      <c r="Y176" s="9"/>
      <c r="Z176" s="9"/>
      <c r="AA176" s="9"/>
      <c r="AB176" s="9"/>
    </row>
    <row r="177" ht="15.75" customHeight="1" spans="1:28">
      <c r="A177" s="9"/>
      <c r="B177" s="9"/>
      <c r="C177" s="9"/>
      <c r="D177" s="9"/>
      <c r="E177" s="9"/>
      <c r="F177" s="9"/>
      <c r="G177" s="36"/>
      <c r="H177" s="37"/>
      <c r="I177" s="37"/>
      <c r="J177" s="9"/>
      <c r="K177" s="9"/>
      <c r="L177" s="9"/>
      <c r="M177" s="9"/>
      <c r="N177" s="9"/>
      <c r="O177" s="9"/>
      <c r="P177" s="9"/>
      <c r="Q177" s="9"/>
      <c r="R177" s="9"/>
      <c r="S177" s="9"/>
      <c r="T177" s="9"/>
      <c r="U177" s="9"/>
      <c r="V177" s="9"/>
      <c r="W177" s="9"/>
      <c r="X177" s="9"/>
      <c r="Y177" s="9"/>
      <c r="Z177" s="9"/>
      <c r="AA177" s="9"/>
      <c r="AB177" s="9"/>
    </row>
    <row r="178" ht="15.75" customHeight="1" spans="1:28">
      <c r="A178" s="9"/>
      <c r="B178" s="9"/>
      <c r="C178" s="9"/>
      <c r="D178" s="9"/>
      <c r="E178" s="9"/>
      <c r="F178" s="9"/>
      <c r="G178" s="36"/>
      <c r="H178" s="37"/>
      <c r="I178" s="37"/>
      <c r="J178" s="9"/>
      <c r="K178" s="9"/>
      <c r="L178" s="9"/>
      <c r="M178" s="9"/>
      <c r="N178" s="9"/>
      <c r="O178" s="9"/>
      <c r="P178" s="9"/>
      <c r="Q178" s="9"/>
      <c r="R178" s="9"/>
      <c r="S178" s="9"/>
      <c r="T178" s="9"/>
      <c r="U178" s="9"/>
      <c r="V178" s="9"/>
      <c r="W178" s="9"/>
      <c r="X178" s="9"/>
      <c r="Y178" s="9"/>
      <c r="Z178" s="9"/>
      <c r="AA178" s="9"/>
      <c r="AB178" s="9"/>
    </row>
    <row r="179" ht="15.75" customHeight="1" spans="1:28">
      <c r="A179" s="9"/>
      <c r="B179" s="9"/>
      <c r="C179" s="9"/>
      <c r="D179" s="9"/>
      <c r="E179" s="9"/>
      <c r="F179" s="9"/>
      <c r="G179" s="36"/>
      <c r="H179" s="37"/>
      <c r="I179" s="37"/>
      <c r="J179" s="9"/>
      <c r="K179" s="9"/>
      <c r="L179" s="9"/>
      <c r="M179" s="9"/>
      <c r="N179" s="9"/>
      <c r="O179" s="9"/>
      <c r="P179" s="9"/>
      <c r="Q179" s="9"/>
      <c r="R179" s="9"/>
      <c r="S179" s="9"/>
      <c r="T179" s="9"/>
      <c r="U179" s="9"/>
      <c r="V179" s="9"/>
      <c r="W179" s="9"/>
      <c r="X179" s="9"/>
      <c r="Y179" s="9"/>
      <c r="Z179" s="9"/>
      <c r="AA179" s="9"/>
      <c r="AB179" s="9"/>
    </row>
    <row r="180" ht="15.75" customHeight="1" spans="1:28">
      <c r="A180" s="9"/>
      <c r="B180" s="9"/>
      <c r="C180" s="9"/>
      <c r="D180" s="9"/>
      <c r="E180" s="9"/>
      <c r="F180" s="9"/>
      <c r="G180" s="36"/>
      <c r="H180" s="37"/>
      <c r="I180" s="37"/>
      <c r="J180" s="9"/>
      <c r="K180" s="9"/>
      <c r="L180" s="9"/>
      <c r="M180" s="9"/>
      <c r="N180" s="9"/>
      <c r="O180" s="9"/>
      <c r="P180" s="9"/>
      <c r="Q180" s="9"/>
      <c r="R180" s="9"/>
      <c r="S180" s="9"/>
      <c r="T180" s="9"/>
      <c r="U180" s="9"/>
      <c r="V180" s="9"/>
      <c r="W180" s="9"/>
      <c r="X180" s="9"/>
      <c r="Y180" s="9"/>
      <c r="Z180" s="9"/>
      <c r="AA180" s="9"/>
      <c r="AB180" s="9"/>
    </row>
    <row r="181" ht="15.75" customHeight="1" spans="1:28">
      <c r="A181" s="9"/>
      <c r="B181" s="9"/>
      <c r="C181" s="9"/>
      <c r="D181" s="9"/>
      <c r="E181" s="9"/>
      <c r="F181" s="9"/>
      <c r="G181" s="36"/>
      <c r="H181" s="37"/>
      <c r="I181" s="37"/>
      <c r="J181" s="9"/>
      <c r="K181" s="9"/>
      <c r="L181" s="9"/>
      <c r="M181" s="9"/>
      <c r="N181" s="9"/>
      <c r="O181" s="9"/>
      <c r="P181" s="9"/>
      <c r="Q181" s="9"/>
      <c r="R181" s="9"/>
      <c r="S181" s="9"/>
      <c r="T181" s="9"/>
      <c r="U181" s="9"/>
      <c r="V181" s="9"/>
      <c r="W181" s="9"/>
      <c r="X181" s="9"/>
      <c r="Y181" s="9"/>
      <c r="Z181" s="9"/>
      <c r="AA181" s="9"/>
      <c r="AB181" s="9"/>
    </row>
    <row r="182" ht="15.75" customHeight="1" spans="1:28">
      <c r="A182" s="9"/>
      <c r="B182" s="9"/>
      <c r="C182" s="9"/>
      <c r="D182" s="9"/>
      <c r="E182" s="9"/>
      <c r="F182" s="9"/>
      <c r="G182" s="36"/>
      <c r="H182" s="37"/>
      <c r="I182" s="37"/>
      <c r="J182" s="9"/>
      <c r="K182" s="9"/>
      <c r="L182" s="9"/>
      <c r="M182" s="9"/>
      <c r="N182" s="9"/>
      <c r="O182" s="9"/>
      <c r="P182" s="9"/>
      <c r="Q182" s="9"/>
      <c r="R182" s="9"/>
      <c r="S182" s="9"/>
      <c r="T182" s="9"/>
      <c r="U182" s="9"/>
      <c r="V182" s="9"/>
      <c r="W182" s="9"/>
      <c r="X182" s="9"/>
      <c r="Y182" s="9"/>
      <c r="Z182" s="9"/>
      <c r="AA182" s="9"/>
      <c r="AB182" s="9"/>
    </row>
    <row r="183" ht="15.75" customHeight="1" spans="1:28">
      <c r="A183" s="9"/>
      <c r="B183" s="9"/>
      <c r="C183" s="9"/>
      <c r="D183" s="9"/>
      <c r="E183" s="9"/>
      <c r="F183" s="9"/>
      <c r="G183" s="36"/>
      <c r="H183" s="37"/>
      <c r="I183" s="37"/>
      <c r="J183" s="9"/>
      <c r="K183" s="9"/>
      <c r="L183" s="9"/>
      <c r="M183" s="9"/>
      <c r="N183" s="9"/>
      <c r="O183" s="9"/>
      <c r="P183" s="9"/>
      <c r="Q183" s="9"/>
      <c r="R183" s="9"/>
      <c r="S183" s="9"/>
      <c r="T183" s="9"/>
      <c r="U183" s="9"/>
      <c r="V183" s="9"/>
      <c r="W183" s="9"/>
      <c r="X183" s="9"/>
      <c r="Y183" s="9"/>
      <c r="Z183" s="9"/>
      <c r="AA183" s="9"/>
      <c r="AB183" s="9"/>
    </row>
    <row r="184" ht="15.75" customHeight="1" spans="1:28">
      <c r="A184" s="9"/>
      <c r="B184" s="9"/>
      <c r="C184" s="9"/>
      <c r="D184" s="9"/>
      <c r="E184" s="9"/>
      <c r="F184" s="9"/>
      <c r="G184" s="36"/>
      <c r="H184" s="37"/>
      <c r="I184" s="37"/>
      <c r="J184" s="9"/>
      <c r="K184" s="9"/>
      <c r="L184" s="9"/>
      <c r="M184" s="9"/>
      <c r="N184" s="9"/>
      <c r="O184" s="9"/>
      <c r="P184" s="9"/>
      <c r="Q184" s="9"/>
      <c r="R184" s="9"/>
      <c r="S184" s="9"/>
      <c r="T184" s="9"/>
      <c r="U184" s="9"/>
      <c r="V184" s="9"/>
      <c r="W184" s="9"/>
      <c r="X184" s="9"/>
      <c r="Y184" s="9"/>
      <c r="Z184" s="9"/>
      <c r="AA184" s="9"/>
      <c r="AB184" s="9"/>
    </row>
    <row r="185" ht="15.75" customHeight="1" spans="1:28">
      <c r="A185" s="9"/>
      <c r="B185" s="9"/>
      <c r="C185" s="9"/>
      <c r="D185" s="9"/>
      <c r="E185" s="9"/>
      <c r="F185" s="9"/>
      <c r="G185" s="36"/>
      <c r="H185" s="37"/>
      <c r="I185" s="37"/>
      <c r="J185" s="9"/>
      <c r="K185" s="9"/>
      <c r="L185" s="9"/>
      <c r="M185" s="9"/>
      <c r="N185" s="9"/>
      <c r="O185" s="9"/>
      <c r="P185" s="9"/>
      <c r="Q185" s="9"/>
      <c r="R185" s="9"/>
      <c r="S185" s="9"/>
      <c r="T185" s="9"/>
      <c r="U185" s="9"/>
      <c r="V185" s="9"/>
      <c r="W185" s="9"/>
      <c r="X185" s="9"/>
      <c r="Y185" s="9"/>
      <c r="Z185" s="9"/>
      <c r="AA185" s="9"/>
      <c r="AB185" s="9"/>
    </row>
    <row r="186" ht="15.75" customHeight="1" spans="1:28">
      <c r="A186" s="9"/>
      <c r="B186" s="9"/>
      <c r="C186" s="9"/>
      <c r="D186" s="9"/>
      <c r="E186" s="9"/>
      <c r="F186" s="9"/>
      <c r="G186" s="36"/>
      <c r="H186" s="37"/>
      <c r="I186" s="37"/>
      <c r="J186" s="9"/>
      <c r="K186" s="9"/>
      <c r="L186" s="9"/>
      <c r="M186" s="9"/>
      <c r="N186" s="9"/>
      <c r="O186" s="9"/>
      <c r="P186" s="9"/>
      <c r="Q186" s="9"/>
      <c r="R186" s="9"/>
      <c r="S186" s="9"/>
      <c r="T186" s="9"/>
      <c r="U186" s="9"/>
      <c r="V186" s="9"/>
      <c r="W186" s="9"/>
      <c r="X186" s="9"/>
      <c r="Y186" s="9"/>
      <c r="Z186" s="9"/>
      <c r="AA186" s="9"/>
      <c r="AB186" s="9"/>
    </row>
    <row r="187" ht="15.75" customHeight="1" spans="1:28">
      <c r="A187" s="9"/>
      <c r="B187" s="9"/>
      <c r="C187" s="9"/>
      <c r="D187" s="9"/>
      <c r="E187" s="9"/>
      <c r="F187" s="9"/>
      <c r="G187" s="36"/>
      <c r="H187" s="37"/>
      <c r="I187" s="37"/>
      <c r="J187" s="9"/>
      <c r="K187" s="9"/>
      <c r="L187" s="9"/>
      <c r="M187" s="9"/>
      <c r="N187" s="9"/>
      <c r="O187" s="9"/>
      <c r="P187" s="9"/>
      <c r="Q187" s="9"/>
      <c r="R187" s="9"/>
      <c r="S187" s="9"/>
      <c r="T187" s="9"/>
      <c r="U187" s="9"/>
      <c r="V187" s="9"/>
      <c r="W187" s="9"/>
      <c r="X187" s="9"/>
      <c r="Y187" s="9"/>
      <c r="Z187" s="9"/>
      <c r="AA187" s="9"/>
      <c r="AB187" s="9"/>
    </row>
    <row r="188" ht="15.75" customHeight="1" spans="1:28">
      <c r="A188" s="9"/>
      <c r="B188" s="9"/>
      <c r="C188" s="9"/>
      <c r="D188" s="9"/>
      <c r="E188" s="9"/>
      <c r="F188" s="9"/>
      <c r="G188" s="36"/>
      <c r="H188" s="37"/>
      <c r="I188" s="37"/>
      <c r="J188" s="9"/>
      <c r="K188" s="9"/>
      <c r="L188" s="9"/>
      <c r="M188" s="9"/>
      <c r="N188" s="9"/>
      <c r="O188" s="9"/>
      <c r="P188" s="9"/>
      <c r="Q188" s="9"/>
      <c r="R188" s="9"/>
      <c r="S188" s="9"/>
      <c r="T188" s="9"/>
      <c r="U188" s="9"/>
      <c r="V188" s="9"/>
      <c r="W188" s="9"/>
      <c r="X188" s="9"/>
      <c r="Y188" s="9"/>
      <c r="Z188" s="9"/>
      <c r="AA188" s="9"/>
      <c r="AB188" s="9"/>
    </row>
    <row r="189" ht="15.75" customHeight="1" spans="1:28">
      <c r="A189" s="9"/>
      <c r="B189" s="9"/>
      <c r="C189" s="9"/>
      <c r="D189" s="9"/>
      <c r="E189" s="9"/>
      <c r="F189" s="9"/>
      <c r="G189" s="36"/>
      <c r="H189" s="37"/>
      <c r="I189" s="37"/>
      <c r="J189" s="9"/>
      <c r="K189" s="9"/>
      <c r="L189" s="9"/>
      <c r="M189" s="9"/>
      <c r="N189" s="9"/>
      <c r="O189" s="9"/>
      <c r="P189" s="9"/>
      <c r="Q189" s="9"/>
      <c r="R189" s="9"/>
      <c r="S189" s="9"/>
      <c r="T189" s="9"/>
      <c r="U189" s="9"/>
      <c r="V189" s="9"/>
      <c r="W189" s="9"/>
      <c r="X189" s="9"/>
      <c r="Y189" s="9"/>
      <c r="Z189" s="9"/>
      <c r="AA189" s="9"/>
      <c r="AB189" s="9"/>
    </row>
    <row r="190" ht="15.75" customHeight="1" spans="1:28">
      <c r="A190" s="9"/>
      <c r="B190" s="9"/>
      <c r="C190" s="9"/>
      <c r="D190" s="9"/>
      <c r="E190" s="9"/>
      <c r="F190" s="9"/>
      <c r="G190" s="36"/>
      <c r="H190" s="37"/>
      <c r="I190" s="37"/>
      <c r="J190" s="9"/>
      <c r="K190" s="9"/>
      <c r="L190" s="9"/>
      <c r="M190" s="9"/>
      <c r="N190" s="9"/>
      <c r="O190" s="9"/>
      <c r="P190" s="9"/>
      <c r="Q190" s="9"/>
      <c r="R190" s="9"/>
      <c r="S190" s="9"/>
      <c r="T190" s="9"/>
      <c r="U190" s="9"/>
      <c r="V190" s="9"/>
      <c r="W190" s="9"/>
      <c r="X190" s="9"/>
      <c r="Y190" s="9"/>
      <c r="Z190" s="9"/>
      <c r="AA190" s="9"/>
      <c r="AB190" s="9"/>
    </row>
    <row r="191" ht="15.75" customHeight="1" spans="1:28">
      <c r="A191" s="9"/>
      <c r="B191" s="9"/>
      <c r="C191" s="9"/>
      <c r="D191" s="9"/>
      <c r="E191" s="9"/>
      <c r="F191" s="9"/>
      <c r="G191" s="36"/>
      <c r="H191" s="37"/>
      <c r="I191" s="37"/>
      <c r="J191" s="9"/>
      <c r="K191" s="9"/>
      <c r="L191" s="9"/>
      <c r="M191" s="9"/>
      <c r="N191" s="9"/>
      <c r="O191" s="9"/>
      <c r="P191" s="9"/>
      <c r="Q191" s="9"/>
      <c r="R191" s="9"/>
      <c r="S191" s="9"/>
      <c r="T191" s="9"/>
      <c r="U191" s="9"/>
      <c r="V191" s="9"/>
      <c r="W191" s="9"/>
      <c r="X191" s="9"/>
      <c r="Y191" s="9"/>
      <c r="Z191" s="9"/>
      <c r="AA191" s="9"/>
      <c r="AB191" s="9"/>
    </row>
    <row r="192" ht="15.75" customHeight="1" spans="1:28">
      <c r="A192" s="9"/>
      <c r="B192" s="9"/>
      <c r="C192" s="9"/>
      <c r="D192" s="9"/>
      <c r="E192" s="9"/>
      <c r="F192" s="9"/>
      <c r="G192" s="36"/>
      <c r="H192" s="37"/>
      <c r="I192" s="37"/>
      <c r="J192" s="9"/>
      <c r="K192" s="9"/>
      <c r="L192" s="9"/>
      <c r="M192" s="9"/>
      <c r="N192" s="9"/>
      <c r="O192" s="9"/>
      <c r="P192" s="9"/>
      <c r="Q192" s="9"/>
      <c r="R192" s="9"/>
      <c r="S192" s="9"/>
      <c r="T192" s="9"/>
      <c r="U192" s="9"/>
      <c r="V192" s="9"/>
      <c r="W192" s="9"/>
      <c r="X192" s="9"/>
      <c r="Y192" s="9"/>
      <c r="Z192" s="9"/>
      <c r="AA192" s="9"/>
      <c r="AB192" s="9"/>
    </row>
    <row r="193" ht="15.75" customHeight="1" spans="1:28">
      <c r="A193" s="9"/>
      <c r="B193" s="9"/>
      <c r="C193" s="9"/>
      <c r="D193" s="9"/>
      <c r="E193" s="9"/>
      <c r="F193" s="9"/>
      <c r="G193" s="36"/>
      <c r="H193" s="37"/>
      <c r="I193" s="37"/>
      <c r="J193" s="9"/>
      <c r="K193" s="9"/>
      <c r="L193" s="9"/>
      <c r="M193" s="9"/>
      <c r="N193" s="9"/>
      <c r="O193" s="9"/>
      <c r="P193" s="9"/>
      <c r="Q193" s="9"/>
      <c r="R193" s="9"/>
      <c r="S193" s="9"/>
      <c r="T193" s="9"/>
      <c r="U193" s="9"/>
      <c r="V193" s="9"/>
      <c r="W193" s="9"/>
      <c r="X193" s="9"/>
      <c r="Y193" s="9"/>
      <c r="Z193" s="9"/>
      <c r="AA193" s="9"/>
      <c r="AB193" s="9"/>
    </row>
    <row r="194" ht="15.75" customHeight="1" spans="1:28">
      <c r="A194" s="9"/>
      <c r="B194" s="9"/>
      <c r="C194" s="9"/>
      <c r="D194" s="9"/>
      <c r="E194" s="9"/>
      <c r="F194" s="9"/>
      <c r="G194" s="36"/>
      <c r="H194" s="37"/>
      <c r="I194" s="37"/>
      <c r="J194" s="9"/>
      <c r="K194" s="9"/>
      <c r="L194" s="9"/>
      <c r="M194" s="9"/>
      <c r="N194" s="9"/>
      <c r="O194" s="9"/>
      <c r="P194" s="9"/>
      <c r="Q194" s="9"/>
      <c r="R194" s="9"/>
      <c r="S194" s="9"/>
      <c r="T194" s="9"/>
      <c r="U194" s="9"/>
      <c r="V194" s="9"/>
      <c r="W194" s="9"/>
      <c r="X194" s="9"/>
      <c r="Y194" s="9"/>
      <c r="Z194" s="9"/>
      <c r="AA194" s="9"/>
      <c r="AB194" s="9"/>
    </row>
    <row r="195" ht="15.75" customHeight="1" spans="1:28">
      <c r="A195" s="9"/>
      <c r="B195" s="9"/>
      <c r="C195" s="9"/>
      <c r="D195" s="9"/>
      <c r="E195" s="9"/>
      <c r="F195" s="9"/>
      <c r="G195" s="36"/>
      <c r="H195" s="37"/>
      <c r="I195" s="37"/>
      <c r="J195" s="9"/>
      <c r="K195" s="9"/>
      <c r="L195" s="9"/>
      <c r="M195" s="9"/>
      <c r="N195" s="9"/>
      <c r="O195" s="9"/>
      <c r="P195" s="9"/>
      <c r="Q195" s="9"/>
      <c r="R195" s="9"/>
      <c r="S195" s="9"/>
      <c r="T195" s="9"/>
      <c r="U195" s="9"/>
      <c r="V195" s="9"/>
      <c r="W195" s="9"/>
      <c r="X195" s="9"/>
      <c r="Y195" s="9"/>
      <c r="Z195" s="9"/>
      <c r="AA195" s="9"/>
      <c r="AB195" s="9"/>
    </row>
    <row r="196" ht="15.75" customHeight="1" spans="1:28">
      <c r="A196" s="9"/>
      <c r="B196" s="9"/>
      <c r="C196" s="9"/>
      <c r="D196" s="9"/>
      <c r="E196" s="9"/>
      <c r="F196" s="9"/>
      <c r="G196" s="36"/>
      <c r="H196" s="37"/>
      <c r="I196" s="37"/>
      <c r="J196" s="9"/>
      <c r="K196" s="9"/>
      <c r="L196" s="9"/>
      <c r="M196" s="9"/>
      <c r="N196" s="9"/>
      <c r="O196" s="9"/>
      <c r="P196" s="9"/>
      <c r="Q196" s="9"/>
      <c r="R196" s="9"/>
      <c r="S196" s="9"/>
      <c r="T196" s="9"/>
      <c r="U196" s="9"/>
      <c r="V196" s="9"/>
      <c r="W196" s="9"/>
      <c r="X196" s="9"/>
      <c r="Y196" s="9"/>
      <c r="Z196" s="9"/>
      <c r="AA196" s="9"/>
      <c r="AB196" s="9"/>
    </row>
    <row r="197" ht="15.75" customHeight="1" spans="1:28">
      <c r="A197" s="9"/>
      <c r="B197" s="9"/>
      <c r="C197" s="9"/>
      <c r="D197" s="9"/>
      <c r="E197" s="9"/>
      <c r="F197" s="9"/>
      <c r="G197" s="36"/>
      <c r="H197" s="37"/>
      <c r="I197" s="37"/>
      <c r="J197" s="9"/>
      <c r="K197" s="9"/>
      <c r="L197" s="9"/>
      <c r="M197" s="9"/>
      <c r="N197" s="9"/>
      <c r="O197" s="9"/>
      <c r="P197" s="9"/>
      <c r="Q197" s="9"/>
      <c r="R197" s="9"/>
      <c r="S197" s="9"/>
      <c r="T197" s="9"/>
      <c r="U197" s="9"/>
      <c r="V197" s="9"/>
      <c r="W197" s="9"/>
      <c r="X197" s="9"/>
      <c r="Y197" s="9"/>
      <c r="Z197" s="9"/>
      <c r="AA197" s="9"/>
      <c r="AB197" s="9"/>
    </row>
    <row r="198" ht="15.75" customHeight="1" spans="1:28">
      <c r="A198" s="9"/>
      <c r="B198" s="9"/>
      <c r="C198" s="9"/>
      <c r="D198" s="9"/>
      <c r="E198" s="9"/>
      <c r="F198" s="9"/>
      <c r="G198" s="36"/>
      <c r="H198" s="37"/>
      <c r="I198" s="37"/>
      <c r="J198" s="9"/>
      <c r="K198" s="9"/>
      <c r="L198" s="9"/>
      <c r="M198" s="9"/>
      <c r="N198" s="9"/>
      <c r="O198" s="9"/>
      <c r="P198" s="9"/>
      <c r="Q198" s="9"/>
      <c r="R198" s="9"/>
      <c r="S198" s="9"/>
      <c r="T198" s="9"/>
      <c r="U198" s="9"/>
      <c r="V198" s="9"/>
      <c r="W198" s="9"/>
      <c r="X198" s="9"/>
      <c r="Y198" s="9"/>
      <c r="Z198" s="9"/>
      <c r="AA198" s="9"/>
      <c r="AB198" s="9"/>
    </row>
    <row r="199" ht="15.75" customHeight="1" spans="1:28">
      <c r="A199" s="9"/>
      <c r="B199" s="9"/>
      <c r="C199" s="9"/>
      <c r="D199" s="9"/>
      <c r="E199" s="9"/>
      <c r="F199" s="9"/>
      <c r="G199" s="36"/>
      <c r="H199" s="37"/>
      <c r="I199" s="37"/>
      <c r="J199" s="9"/>
      <c r="K199" s="9"/>
      <c r="L199" s="9"/>
      <c r="M199" s="9"/>
      <c r="N199" s="9"/>
      <c r="O199" s="9"/>
      <c r="P199" s="9"/>
      <c r="Q199" s="9"/>
      <c r="R199" s="9"/>
      <c r="S199" s="9"/>
      <c r="T199" s="9"/>
      <c r="U199" s="9"/>
      <c r="V199" s="9"/>
      <c r="W199" s="9"/>
      <c r="X199" s="9"/>
      <c r="Y199" s="9"/>
      <c r="Z199" s="9"/>
      <c r="AA199" s="9"/>
      <c r="AB199" s="9"/>
    </row>
    <row r="200" ht="15.75" customHeight="1" spans="1:28">
      <c r="A200" s="9"/>
      <c r="B200" s="9"/>
      <c r="C200" s="9"/>
      <c r="D200" s="9"/>
      <c r="E200" s="9"/>
      <c r="F200" s="9"/>
      <c r="G200" s="36"/>
      <c r="H200" s="37"/>
      <c r="I200" s="37"/>
      <c r="J200" s="9"/>
      <c r="K200" s="9"/>
      <c r="L200" s="9"/>
      <c r="M200" s="9"/>
      <c r="N200" s="9"/>
      <c r="O200" s="9"/>
      <c r="P200" s="9"/>
      <c r="Q200" s="9"/>
      <c r="R200" s="9"/>
      <c r="S200" s="9"/>
      <c r="T200" s="9"/>
      <c r="U200" s="9"/>
      <c r="V200" s="9"/>
      <c r="W200" s="9"/>
      <c r="X200" s="9"/>
      <c r="Y200" s="9"/>
      <c r="Z200" s="9"/>
      <c r="AA200" s="9"/>
      <c r="AB200" s="9"/>
    </row>
    <row r="201" ht="15.75" customHeight="1" spans="1:28">
      <c r="A201" s="9"/>
      <c r="B201" s="9"/>
      <c r="C201" s="9"/>
      <c r="D201" s="9"/>
      <c r="E201" s="9"/>
      <c r="F201" s="9"/>
      <c r="G201" s="36"/>
      <c r="H201" s="37"/>
      <c r="I201" s="37"/>
      <c r="J201" s="9"/>
      <c r="K201" s="9"/>
      <c r="L201" s="9"/>
      <c r="M201" s="9"/>
      <c r="N201" s="9"/>
      <c r="O201" s="9"/>
      <c r="P201" s="9"/>
      <c r="Q201" s="9"/>
      <c r="R201" s="9"/>
      <c r="S201" s="9"/>
      <c r="T201" s="9"/>
      <c r="U201" s="9"/>
      <c r="V201" s="9"/>
      <c r="W201" s="9"/>
      <c r="X201" s="9"/>
      <c r="Y201" s="9"/>
      <c r="Z201" s="9"/>
      <c r="AA201" s="9"/>
      <c r="AB201" s="9"/>
    </row>
    <row r="202" ht="15.75" customHeight="1" spans="1:28">
      <c r="A202" s="9"/>
      <c r="B202" s="9"/>
      <c r="C202" s="9"/>
      <c r="D202" s="9"/>
      <c r="E202" s="9"/>
      <c r="F202" s="9"/>
      <c r="G202" s="36"/>
      <c r="H202" s="37"/>
      <c r="I202" s="37"/>
      <c r="J202" s="9"/>
      <c r="K202" s="9"/>
      <c r="L202" s="9"/>
      <c r="M202" s="9"/>
      <c r="N202" s="9"/>
      <c r="O202" s="9"/>
      <c r="P202" s="9"/>
      <c r="Q202" s="9"/>
      <c r="R202" s="9"/>
      <c r="S202" s="9"/>
      <c r="T202" s="9"/>
      <c r="U202" s="9"/>
      <c r="V202" s="9"/>
      <c r="W202" s="9"/>
      <c r="X202" s="9"/>
      <c r="Y202" s="9"/>
      <c r="Z202" s="9"/>
      <c r="AA202" s="9"/>
      <c r="AB202" s="9"/>
    </row>
    <row r="203" ht="15.75" customHeight="1" spans="1:28">
      <c r="A203" s="9"/>
      <c r="B203" s="9"/>
      <c r="C203" s="9"/>
      <c r="D203" s="9"/>
      <c r="E203" s="9"/>
      <c r="F203" s="9"/>
      <c r="G203" s="36"/>
      <c r="H203" s="37"/>
      <c r="I203" s="37"/>
      <c r="J203" s="9"/>
      <c r="K203" s="9"/>
      <c r="L203" s="9"/>
      <c r="M203" s="9"/>
      <c r="N203" s="9"/>
      <c r="O203" s="9"/>
      <c r="P203" s="9"/>
      <c r="Q203" s="9"/>
      <c r="R203" s="9"/>
      <c r="S203" s="9"/>
      <c r="T203" s="9"/>
      <c r="U203" s="9"/>
      <c r="V203" s="9"/>
      <c r="W203" s="9"/>
      <c r="X203" s="9"/>
      <c r="Y203" s="9"/>
      <c r="Z203" s="9"/>
      <c r="AA203" s="9"/>
      <c r="AB203" s="9"/>
    </row>
    <row r="204" ht="15.75" customHeight="1" spans="1:28">
      <c r="A204" s="9"/>
      <c r="B204" s="9"/>
      <c r="C204" s="9"/>
      <c r="D204" s="9"/>
      <c r="E204" s="9"/>
      <c r="F204" s="9"/>
      <c r="G204" s="36"/>
      <c r="H204" s="37"/>
      <c r="I204" s="37"/>
      <c r="J204" s="9"/>
      <c r="K204" s="9"/>
      <c r="L204" s="9"/>
      <c r="M204" s="9"/>
      <c r="N204" s="9"/>
      <c r="O204" s="9"/>
      <c r="P204" s="9"/>
      <c r="Q204" s="9"/>
      <c r="R204" s="9"/>
      <c r="S204" s="9"/>
      <c r="T204" s="9"/>
      <c r="U204" s="9"/>
      <c r="V204" s="9"/>
      <c r="W204" s="9"/>
      <c r="X204" s="9"/>
      <c r="Y204" s="9"/>
      <c r="Z204" s="9"/>
      <c r="AA204" s="9"/>
      <c r="AB204" s="9"/>
    </row>
    <row r="205" ht="15.75" customHeight="1" spans="1:28">
      <c r="A205" s="9"/>
      <c r="B205" s="9"/>
      <c r="C205" s="9"/>
      <c r="D205" s="9"/>
      <c r="E205" s="9"/>
      <c r="F205" s="9"/>
      <c r="G205" s="36"/>
      <c r="H205" s="37"/>
      <c r="I205" s="37"/>
      <c r="J205" s="9"/>
      <c r="K205" s="9"/>
      <c r="L205" s="9"/>
      <c r="M205" s="9"/>
      <c r="N205" s="9"/>
      <c r="O205" s="9"/>
      <c r="P205" s="9"/>
      <c r="Q205" s="9"/>
      <c r="R205" s="9"/>
      <c r="S205" s="9"/>
      <c r="T205" s="9"/>
      <c r="U205" s="9"/>
      <c r="V205" s="9"/>
      <c r="W205" s="9"/>
      <c r="X205" s="9"/>
      <c r="Y205" s="9"/>
      <c r="Z205" s="9"/>
      <c r="AA205" s="9"/>
      <c r="AB205" s="9"/>
    </row>
    <row r="206" ht="15.75" customHeight="1" spans="1:28">
      <c r="A206" s="9"/>
      <c r="B206" s="9"/>
      <c r="C206" s="9"/>
      <c r="D206" s="9"/>
      <c r="E206" s="9"/>
      <c r="F206" s="9"/>
      <c r="G206" s="36"/>
      <c r="H206" s="37"/>
      <c r="I206" s="37"/>
      <c r="J206" s="9"/>
      <c r="K206" s="9"/>
      <c r="L206" s="9"/>
      <c r="M206" s="9"/>
      <c r="N206" s="9"/>
      <c r="O206" s="9"/>
      <c r="P206" s="9"/>
      <c r="Q206" s="9"/>
      <c r="R206" s="9"/>
      <c r="S206" s="9"/>
      <c r="T206" s="9"/>
      <c r="U206" s="9"/>
      <c r="V206" s="9"/>
      <c r="W206" s="9"/>
      <c r="X206" s="9"/>
      <c r="Y206" s="9"/>
      <c r="Z206" s="9"/>
      <c r="AA206" s="9"/>
      <c r="AB206" s="9"/>
    </row>
    <row r="207" ht="15.75" customHeight="1" spans="1:28">
      <c r="A207" s="9"/>
      <c r="B207" s="9"/>
      <c r="C207" s="9"/>
      <c r="D207" s="9"/>
      <c r="E207" s="9"/>
      <c r="F207" s="9"/>
      <c r="G207" s="36"/>
      <c r="H207" s="37"/>
      <c r="I207" s="37"/>
      <c r="J207" s="9"/>
      <c r="K207" s="9"/>
      <c r="L207" s="9"/>
      <c r="M207" s="9"/>
      <c r="N207" s="9"/>
      <c r="O207" s="9"/>
      <c r="P207" s="9"/>
      <c r="Q207" s="9"/>
      <c r="R207" s="9"/>
      <c r="S207" s="9"/>
      <c r="T207" s="9"/>
      <c r="U207" s="9"/>
      <c r="V207" s="9"/>
      <c r="W207" s="9"/>
      <c r="X207" s="9"/>
      <c r="Y207" s="9"/>
      <c r="Z207" s="9"/>
      <c r="AA207" s="9"/>
      <c r="AB207" s="9"/>
    </row>
    <row r="208" ht="15.75" customHeight="1" spans="1:28">
      <c r="A208" s="9"/>
      <c r="B208" s="9"/>
      <c r="C208" s="9"/>
      <c r="D208" s="9"/>
      <c r="E208" s="9"/>
      <c r="F208" s="9"/>
      <c r="G208" s="36"/>
      <c r="H208" s="37"/>
      <c r="I208" s="37"/>
      <c r="J208" s="9"/>
      <c r="K208" s="9"/>
      <c r="L208" s="9"/>
      <c r="M208" s="9"/>
      <c r="N208" s="9"/>
      <c r="O208" s="9"/>
      <c r="P208" s="9"/>
      <c r="Q208" s="9"/>
      <c r="R208" s="9"/>
      <c r="S208" s="9"/>
      <c r="T208" s="9"/>
      <c r="U208" s="9"/>
      <c r="V208" s="9"/>
      <c r="W208" s="9"/>
      <c r="X208" s="9"/>
      <c r="Y208" s="9"/>
      <c r="Z208" s="9"/>
      <c r="AA208" s="9"/>
      <c r="AB208" s="9"/>
    </row>
    <row r="209" ht="15.75" customHeight="1" spans="1:28">
      <c r="A209" s="9"/>
      <c r="B209" s="9"/>
      <c r="C209" s="9"/>
      <c r="D209" s="9"/>
      <c r="E209" s="9"/>
      <c r="F209" s="9"/>
      <c r="G209" s="36"/>
      <c r="H209" s="37"/>
      <c r="I209" s="37"/>
      <c r="J209" s="9"/>
      <c r="K209" s="9"/>
      <c r="L209" s="9"/>
      <c r="M209" s="9"/>
      <c r="N209" s="9"/>
      <c r="O209" s="9"/>
      <c r="P209" s="9"/>
      <c r="Q209" s="9"/>
      <c r="R209" s="9"/>
      <c r="S209" s="9"/>
      <c r="T209" s="9"/>
      <c r="U209" s="9"/>
      <c r="V209" s="9"/>
      <c r="W209" s="9"/>
      <c r="X209" s="9"/>
      <c r="Y209" s="9"/>
      <c r="Z209" s="9"/>
      <c r="AA209" s="9"/>
      <c r="AB209" s="9"/>
    </row>
    <row r="210" ht="15.75" customHeight="1" spans="1:28">
      <c r="A210" s="9"/>
      <c r="B210" s="9"/>
      <c r="C210" s="9"/>
      <c r="D210" s="9"/>
      <c r="E210" s="9"/>
      <c r="F210" s="9"/>
      <c r="G210" s="36"/>
      <c r="H210" s="37"/>
      <c r="I210" s="37"/>
      <c r="J210" s="9"/>
      <c r="K210" s="9"/>
      <c r="L210" s="9"/>
      <c r="M210" s="9"/>
      <c r="N210" s="9"/>
      <c r="O210" s="9"/>
      <c r="P210" s="9"/>
      <c r="Q210" s="9"/>
      <c r="R210" s="9"/>
      <c r="S210" s="9"/>
      <c r="T210" s="9"/>
      <c r="U210" s="9"/>
      <c r="V210" s="9"/>
      <c r="W210" s="9"/>
      <c r="X210" s="9"/>
      <c r="Y210" s="9"/>
      <c r="Z210" s="9"/>
      <c r="AA210" s="9"/>
      <c r="AB210" s="9"/>
    </row>
    <row r="211" ht="15.75" customHeight="1" spans="1:28">
      <c r="A211" s="9"/>
      <c r="B211" s="9"/>
      <c r="C211" s="9"/>
      <c r="D211" s="9"/>
      <c r="E211" s="9"/>
      <c r="F211" s="9"/>
      <c r="G211" s="36"/>
      <c r="H211" s="37"/>
      <c r="I211" s="37"/>
      <c r="J211" s="9"/>
      <c r="K211" s="9"/>
      <c r="L211" s="9"/>
      <c r="M211" s="9"/>
      <c r="N211" s="9"/>
      <c r="O211" s="9"/>
      <c r="P211" s="9"/>
      <c r="Q211" s="9"/>
      <c r="R211" s="9"/>
      <c r="S211" s="9"/>
      <c r="T211" s="9"/>
      <c r="U211" s="9"/>
      <c r="V211" s="9"/>
      <c r="W211" s="9"/>
      <c r="X211" s="9"/>
      <c r="Y211" s="9"/>
      <c r="Z211" s="9"/>
      <c r="AA211" s="9"/>
      <c r="AB211" s="9"/>
    </row>
    <row r="212" ht="15.75" customHeight="1" spans="1:28">
      <c r="A212" s="9"/>
      <c r="B212" s="9"/>
      <c r="C212" s="9"/>
      <c r="D212" s="9"/>
      <c r="E212" s="9"/>
      <c r="F212" s="9"/>
      <c r="G212" s="36"/>
      <c r="H212" s="37"/>
      <c r="I212" s="37"/>
      <c r="J212" s="9"/>
      <c r="K212" s="9"/>
      <c r="L212" s="9"/>
      <c r="M212" s="9"/>
      <c r="N212" s="9"/>
      <c r="O212" s="9"/>
      <c r="P212" s="9"/>
      <c r="Q212" s="9"/>
      <c r="R212" s="9"/>
      <c r="S212" s="9"/>
      <c r="T212" s="9"/>
      <c r="U212" s="9"/>
      <c r="V212" s="9"/>
      <c r="W212" s="9"/>
      <c r="X212" s="9"/>
      <c r="Y212" s="9"/>
      <c r="Z212" s="9"/>
      <c r="AA212" s="9"/>
      <c r="AB212" s="9"/>
    </row>
    <row r="213" ht="15.75" customHeight="1" spans="1:28">
      <c r="A213" s="9"/>
      <c r="B213" s="9"/>
      <c r="C213" s="9"/>
      <c r="D213" s="9"/>
      <c r="E213" s="9"/>
      <c r="F213" s="9"/>
      <c r="G213" s="36"/>
      <c r="H213" s="37"/>
      <c r="I213" s="37"/>
      <c r="J213" s="9"/>
      <c r="K213" s="9"/>
      <c r="L213" s="9"/>
      <c r="M213" s="9"/>
      <c r="N213" s="9"/>
      <c r="O213" s="9"/>
      <c r="P213" s="9"/>
      <c r="Q213" s="9"/>
      <c r="R213" s="9"/>
      <c r="S213" s="9"/>
      <c r="T213" s="9"/>
      <c r="U213" s="9"/>
      <c r="V213" s="9"/>
      <c r="W213" s="9"/>
      <c r="X213" s="9"/>
      <c r="Y213" s="9"/>
      <c r="Z213" s="9"/>
      <c r="AA213" s="9"/>
      <c r="AB213" s="9"/>
    </row>
    <row r="214" ht="15.75" customHeight="1" spans="1:28">
      <c r="A214" s="9"/>
      <c r="B214" s="9"/>
      <c r="C214" s="9"/>
      <c r="D214" s="9"/>
      <c r="E214" s="9"/>
      <c r="F214" s="9"/>
      <c r="G214" s="36"/>
      <c r="H214" s="37"/>
      <c r="I214" s="37"/>
      <c r="J214" s="9"/>
      <c r="K214" s="9"/>
      <c r="L214" s="9"/>
      <c r="M214" s="9"/>
      <c r="N214" s="9"/>
      <c r="O214" s="9"/>
      <c r="P214" s="9"/>
      <c r="Q214" s="9"/>
      <c r="R214" s="9"/>
      <c r="S214" s="9"/>
      <c r="T214" s="9"/>
      <c r="U214" s="9"/>
      <c r="V214" s="9"/>
      <c r="W214" s="9"/>
      <c r="X214" s="9"/>
      <c r="Y214" s="9"/>
      <c r="Z214" s="9"/>
      <c r="AA214" s="9"/>
      <c r="AB214" s="9"/>
    </row>
    <row r="215" ht="15.75" customHeight="1" spans="1:28">
      <c r="A215" s="9"/>
      <c r="B215" s="9"/>
      <c r="C215" s="9"/>
      <c r="D215" s="9"/>
      <c r="E215" s="9"/>
      <c r="F215" s="9"/>
      <c r="G215" s="36"/>
      <c r="H215" s="37"/>
      <c r="I215" s="37"/>
      <c r="J215" s="9"/>
      <c r="K215" s="9"/>
      <c r="L215" s="9"/>
      <c r="M215" s="9"/>
      <c r="N215" s="9"/>
      <c r="O215" s="9"/>
      <c r="P215" s="9"/>
      <c r="Q215" s="9"/>
      <c r="R215" s="9"/>
      <c r="S215" s="9"/>
      <c r="T215" s="9"/>
      <c r="U215" s="9"/>
      <c r="V215" s="9"/>
      <c r="W215" s="9"/>
      <c r="X215" s="9"/>
      <c r="Y215" s="9"/>
      <c r="Z215" s="9"/>
      <c r="AA215" s="9"/>
      <c r="AB215" s="9"/>
    </row>
    <row r="216" ht="15.75" customHeight="1" spans="1:28">
      <c r="A216" s="9"/>
      <c r="B216" s="9"/>
      <c r="C216" s="9"/>
      <c r="D216" s="9"/>
      <c r="E216" s="9"/>
      <c r="F216" s="9"/>
      <c r="G216" s="36"/>
      <c r="H216" s="37"/>
      <c r="I216" s="37"/>
      <c r="J216" s="9"/>
      <c r="K216" s="9"/>
      <c r="L216" s="9"/>
      <c r="M216" s="9"/>
      <c r="N216" s="9"/>
      <c r="O216" s="9"/>
      <c r="P216" s="9"/>
      <c r="Q216" s="9"/>
      <c r="R216" s="9"/>
      <c r="S216" s="9"/>
      <c r="T216" s="9"/>
      <c r="U216" s="9"/>
      <c r="V216" s="9"/>
      <c r="W216" s="9"/>
      <c r="X216" s="9"/>
      <c r="Y216" s="9"/>
      <c r="Z216" s="9"/>
      <c r="AA216" s="9"/>
      <c r="AB216" s="9"/>
    </row>
    <row r="217" ht="15.75" customHeight="1" spans="1:28">
      <c r="A217" s="9"/>
      <c r="B217" s="9"/>
      <c r="C217" s="9"/>
      <c r="D217" s="9"/>
      <c r="E217" s="9"/>
      <c r="F217" s="9"/>
      <c r="G217" s="36"/>
      <c r="H217" s="37"/>
      <c r="I217" s="37"/>
      <c r="J217" s="9"/>
      <c r="K217" s="9"/>
      <c r="L217" s="9"/>
      <c r="M217" s="9"/>
      <c r="N217" s="9"/>
      <c r="O217" s="9"/>
      <c r="P217" s="9"/>
      <c r="Q217" s="9"/>
      <c r="R217" s="9"/>
      <c r="S217" s="9"/>
      <c r="T217" s="9"/>
      <c r="U217" s="9"/>
      <c r="V217" s="9"/>
      <c r="W217" s="9"/>
      <c r="X217" s="9"/>
      <c r="Y217" s="9"/>
      <c r="Z217" s="9"/>
      <c r="AA217" s="9"/>
      <c r="AB217" s="9"/>
    </row>
    <row r="218" ht="15.75" customHeight="1" spans="1:28">
      <c r="A218" s="9"/>
      <c r="B218" s="9"/>
      <c r="C218" s="9"/>
      <c r="D218" s="9"/>
      <c r="E218" s="9"/>
      <c r="F218" s="9"/>
      <c r="G218" s="36"/>
      <c r="H218" s="37"/>
      <c r="I218" s="37"/>
      <c r="J218" s="9"/>
      <c r="K218" s="9"/>
      <c r="L218" s="9"/>
      <c r="M218" s="9"/>
      <c r="N218" s="9"/>
      <c r="O218" s="9"/>
      <c r="P218" s="9"/>
      <c r="Q218" s="9"/>
      <c r="R218" s="9"/>
      <c r="S218" s="9"/>
      <c r="T218" s="9"/>
      <c r="U218" s="9"/>
      <c r="V218" s="9"/>
      <c r="W218" s="9"/>
      <c r="X218" s="9"/>
      <c r="Y218" s="9"/>
      <c r="Z218" s="9"/>
      <c r="AA218" s="9"/>
      <c r="AB218" s="9"/>
    </row>
    <row r="219" ht="15.75" customHeight="1" spans="1:28">
      <c r="A219" s="9"/>
      <c r="B219" s="9"/>
      <c r="C219" s="9"/>
      <c r="D219" s="9"/>
      <c r="E219" s="9"/>
      <c r="F219" s="9"/>
      <c r="G219" s="36"/>
      <c r="H219" s="37"/>
      <c r="I219" s="37"/>
      <c r="J219" s="9"/>
      <c r="K219" s="9"/>
      <c r="L219" s="9"/>
      <c r="M219" s="9"/>
      <c r="N219" s="9"/>
      <c r="O219" s="9"/>
      <c r="P219" s="9"/>
      <c r="Q219" s="9"/>
      <c r="R219" s="9"/>
      <c r="S219" s="9"/>
      <c r="T219" s="9"/>
      <c r="U219" s="9"/>
      <c r="V219" s="9"/>
      <c r="W219" s="9"/>
      <c r="X219" s="9"/>
      <c r="Y219" s="9"/>
      <c r="Z219" s="9"/>
      <c r="AA219" s="9"/>
      <c r="AB219" s="9"/>
    </row>
    <row r="220" ht="15.75" customHeight="1" spans="1:28">
      <c r="A220" s="9"/>
      <c r="B220" s="9"/>
      <c r="C220" s="9"/>
      <c r="D220" s="9"/>
      <c r="E220" s="9"/>
      <c r="F220" s="9"/>
      <c r="G220" s="36"/>
      <c r="H220" s="37"/>
      <c r="I220" s="37"/>
      <c r="J220" s="9"/>
      <c r="K220" s="9"/>
      <c r="L220" s="9"/>
      <c r="M220" s="9"/>
      <c r="N220" s="9"/>
      <c r="O220" s="9"/>
      <c r="P220" s="9"/>
      <c r="Q220" s="9"/>
      <c r="R220" s="9"/>
      <c r="S220" s="9"/>
      <c r="T220" s="9"/>
      <c r="U220" s="9"/>
      <c r="V220" s="9"/>
      <c r="W220" s="9"/>
      <c r="X220" s="9"/>
      <c r="Y220" s="9"/>
      <c r="Z220" s="9"/>
      <c r="AA220" s="9"/>
      <c r="AB220" s="9"/>
    </row>
    <row r="221" ht="15.75" customHeight="1" spans="1:28">
      <c r="A221" s="9"/>
      <c r="B221" s="9"/>
      <c r="C221" s="9"/>
      <c r="D221" s="9"/>
      <c r="E221" s="9"/>
      <c r="F221" s="9"/>
      <c r="G221" s="36"/>
      <c r="H221" s="37"/>
      <c r="I221" s="37"/>
      <c r="J221" s="9"/>
      <c r="K221" s="9"/>
      <c r="L221" s="9"/>
      <c r="M221" s="9"/>
      <c r="N221" s="9"/>
      <c r="O221" s="9"/>
      <c r="P221" s="9"/>
      <c r="Q221" s="9"/>
      <c r="R221" s="9"/>
      <c r="S221" s="9"/>
      <c r="T221" s="9"/>
      <c r="U221" s="9"/>
      <c r="V221" s="9"/>
      <c r="W221" s="9"/>
      <c r="X221" s="9"/>
      <c r="Y221" s="9"/>
      <c r="Z221" s="9"/>
      <c r="AA221" s="9"/>
      <c r="AB221" s="9"/>
    </row>
    <row r="222" ht="15.75" customHeight="1" spans="1:28">
      <c r="A222" s="9"/>
      <c r="B222" s="9"/>
      <c r="C222" s="9"/>
      <c r="D222" s="9"/>
      <c r="E222" s="9"/>
      <c r="F222" s="9"/>
      <c r="G222" s="36"/>
      <c r="H222" s="37"/>
      <c r="I222" s="37"/>
      <c r="J222" s="9"/>
      <c r="K222" s="9"/>
      <c r="L222" s="9"/>
      <c r="M222" s="9"/>
      <c r="N222" s="9"/>
      <c r="O222" s="9"/>
      <c r="P222" s="9"/>
      <c r="Q222" s="9"/>
      <c r="R222" s="9"/>
      <c r="S222" s="9"/>
      <c r="T222" s="9"/>
      <c r="U222" s="9"/>
      <c r="V222" s="9"/>
      <c r="W222" s="9"/>
      <c r="X222" s="9"/>
      <c r="Y222" s="9"/>
      <c r="Z222" s="9"/>
      <c r="AA222" s="9"/>
      <c r="AB222" s="9"/>
    </row>
    <row r="223" ht="15.75" customHeight="1" spans="1:28">
      <c r="A223" s="9"/>
      <c r="B223" s="9"/>
      <c r="C223" s="9"/>
      <c r="D223" s="9"/>
      <c r="E223" s="9"/>
      <c r="F223" s="9"/>
      <c r="G223" s="36"/>
      <c r="H223" s="37"/>
      <c r="I223" s="37"/>
      <c r="J223" s="9"/>
      <c r="K223" s="9"/>
      <c r="L223" s="9"/>
      <c r="M223" s="9"/>
      <c r="N223" s="9"/>
      <c r="O223" s="9"/>
      <c r="P223" s="9"/>
      <c r="Q223" s="9"/>
      <c r="R223" s="9"/>
      <c r="S223" s="9"/>
      <c r="T223" s="9"/>
      <c r="U223" s="9"/>
      <c r="V223" s="9"/>
      <c r="W223" s="9"/>
      <c r="X223" s="9"/>
      <c r="Y223" s="9"/>
      <c r="Z223" s="9"/>
      <c r="AA223" s="9"/>
      <c r="AB223" s="9"/>
    </row>
    <row r="224" ht="15.75" customHeight="1" spans="1:28">
      <c r="A224" s="9"/>
      <c r="B224" s="9"/>
      <c r="C224" s="9"/>
      <c r="D224" s="9"/>
      <c r="E224" s="9"/>
      <c r="F224" s="9"/>
      <c r="G224" s="36"/>
      <c r="H224" s="37"/>
      <c r="I224" s="37"/>
      <c r="J224" s="9"/>
      <c r="K224" s="9"/>
      <c r="L224" s="9"/>
      <c r="M224" s="9"/>
      <c r="N224" s="9"/>
      <c r="O224" s="9"/>
      <c r="P224" s="9"/>
      <c r="Q224" s="9"/>
      <c r="R224" s="9"/>
      <c r="S224" s="9"/>
      <c r="T224" s="9"/>
      <c r="U224" s="9"/>
      <c r="V224" s="9"/>
      <c r="W224" s="9"/>
      <c r="X224" s="9"/>
      <c r="Y224" s="9"/>
      <c r="Z224" s="9"/>
      <c r="AA224" s="9"/>
      <c r="AB224" s="9"/>
    </row>
    <row r="225" ht="15.75" customHeight="1" spans="1:28">
      <c r="A225" s="9"/>
      <c r="B225" s="9"/>
      <c r="C225" s="9"/>
      <c r="D225" s="9"/>
      <c r="E225" s="9"/>
      <c r="F225" s="9"/>
      <c r="G225" s="36"/>
      <c r="H225" s="37"/>
      <c r="I225" s="37"/>
      <c r="J225" s="9"/>
      <c r="K225" s="9"/>
      <c r="L225" s="9"/>
      <c r="M225" s="9"/>
      <c r="N225" s="9"/>
      <c r="O225" s="9"/>
      <c r="P225" s="9"/>
      <c r="Q225" s="9"/>
      <c r="R225" s="9"/>
      <c r="S225" s="9"/>
      <c r="T225" s="9"/>
      <c r="U225" s="9"/>
      <c r="V225" s="9"/>
      <c r="W225" s="9"/>
      <c r="X225" s="9"/>
      <c r="Y225" s="9"/>
      <c r="Z225" s="9"/>
      <c r="AA225" s="9"/>
      <c r="AB225" s="9"/>
    </row>
    <row r="226" ht="15.75" customHeight="1" spans="1:28">
      <c r="A226" s="9"/>
      <c r="B226" s="9"/>
      <c r="C226" s="9"/>
      <c r="D226" s="9"/>
      <c r="E226" s="9"/>
      <c r="F226" s="9"/>
      <c r="G226" s="36"/>
      <c r="H226" s="37"/>
      <c r="I226" s="37"/>
      <c r="J226" s="9"/>
      <c r="K226" s="9"/>
      <c r="L226" s="9"/>
      <c r="M226" s="9"/>
      <c r="N226" s="9"/>
      <c r="O226" s="9"/>
      <c r="P226" s="9"/>
      <c r="Q226" s="9"/>
      <c r="R226" s="9"/>
      <c r="S226" s="9"/>
      <c r="T226" s="9"/>
      <c r="U226" s="9"/>
      <c r="V226" s="9"/>
      <c r="W226" s="9"/>
      <c r="X226" s="9"/>
      <c r="Y226" s="9"/>
      <c r="Z226" s="9"/>
      <c r="AA226" s="9"/>
      <c r="AB226" s="9"/>
    </row>
    <row r="227" ht="15.75" customHeight="1" spans="1:28">
      <c r="A227" s="9"/>
      <c r="B227" s="9"/>
      <c r="C227" s="9"/>
      <c r="D227" s="9"/>
      <c r="E227" s="9"/>
      <c r="F227" s="9"/>
      <c r="G227" s="36"/>
      <c r="H227" s="37"/>
      <c r="I227" s="37"/>
      <c r="J227" s="9"/>
      <c r="K227" s="9"/>
      <c r="L227" s="9"/>
      <c r="M227" s="9"/>
      <c r="N227" s="9"/>
      <c r="O227" s="9"/>
      <c r="P227" s="9"/>
      <c r="Q227" s="9"/>
      <c r="R227" s="9"/>
      <c r="S227" s="9"/>
      <c r="T227" s="9"/>
      <c r="U227" s="9"/>
      <c r="V227" s="9"/>
      <c r="W227" s="9"/>
      <c r="X227" s="9"/>
      <c r="Y227" s="9"/>
      <c r="Z227" s="9"/>
      <c r="AA227" s="9"/>
      <c r="AB227" s="9"/>
    </row>
    <row r="228" ht="15.75" customHeight="1" spans="1:28">
      <c r="A228" s="9"/>
      <c r="B228" s="9"/>
      <c r="C228" s="9"/>
      <c r="D228" s="9"/>
      <c r="E228" s="9"/>
      <c r="F228" s="9"/>
      <c r="G228" s="36"/>
      <c r="H228" s="37"/>
      <c r="I228" s="37"/>
      <c r="J228" s="9"/>
      <c r="K228" s="9"/>
      <c r="L228" s="9"/>
      <c r="M228" s="9"/>
      <c r="N228" s="9"/>
      <c r="O228" s="9"/>
      <c r="P228" s="9"/>
      <c r="Q228" s="9"/>
      <c r="R228" s="9"/>
      <c r="S228" s="9"/>
      <c r="T228" s="9"/>
      <c r="U228" s="9"/>
      <c r="V228" s="9"/>
      <c r="W228" s="9"/>
      <c r="X228" s="9"/>
      <c r="Y228" s="9"/>
      <c r="Z228" s="9"/>
      <c r="AA228" s="9"/>
      <c r="AB228" s="9"/>
    </row>
    <row r="229" ht="15.75" customHeight="1" spans="1:28">
      <c r="A229" s="9"/>
      <c r="B229" s="9"/>
      <c r="C229" s="9"/>
      <c r="D229" s="9"/>
      <c r="E229" s="9"/>
      <c r="F229" s="9"/>
      <c r="G229" s="36"/>
      <c r="H229" s="37"/>
      <c r="I229" s="37"/>
      <c r="J229" s="9"/>
      <c r="K229" s="9"/>
      <c r="L229" s="9"/>
      <c r="M229" s="9"/>
      <c r="N229" s="9"/>
      <c r="O229" s="9"/>
      <c r="P229" s="9"/>
      <c r="Q229" s="9"/>
      <c r="R229" s="9"/>
      <c r="S229" s="9"/>
      <c r="T229" s="9"/>
      <c r="U229" s="9"/>
      <c r="V229" s="9"/>
      <c r="W229" s="9"/>
      <c r="X229" s="9"/>
      <c r="Y229" s="9"/>
      <c r="Z229" s="9"/>
      <c r="AA229" s="9"/>
      <c r="AB229" s="9"/>
    </row>
    <row r="230" ht="15.75" customHeight="1" spans="1:28">
      <c r="A230" s="9"/>
      <c r="B230" s="9"/>
      <c r="C230" s="9"/>
      <c r="D230" s="9"/>
      <c r="E230" s="9"/>
      <c r="F230" s="9"/>
      <c r="G230" s="36"/>
      <c r="H230" s="37"/>
      <c r="I230" s="37"/>
      <c r="J230" s="9"/>
      <c r="K230" s="9"/>
      <c r="L230" s="9"/>
      <c r="M230" s="9"/>
      <c r="N230" s="9"/>
      <c r="O230" s="9"/>
      <c r="P230" s="9"/>
      <c r="Q230" s="9"/>
      <c r="R230" s="9"/>
      <c r="S230" s="9"/>
      <c r="T230" s="9"/>
      <c r="U230" s="9"/>
      <c r="V230" s="9"/>
      <c r="W230" s="9"/>
      <c r="X230" s="9"/>
      <c r="Y230" s="9"/>
      <c r="Z230" s="9"/>
      <c r="AA230" s="9"/>
      <c r="AB230" s="9"/>
    </row>
    <row r="231" ht="15.75" customHeight="1" spans="1:28">
      <c r="A231" s="9"/>
      <c r="B231" s="9"/>
      <c r="C231" s="9"/>
      <c r="D231" s="9"/>
      <c r="E231" s="9"/>
      <c r="F231" s="9"/>
      <c r="G231" s="36"/>
      <c r="H231" s="37"/>
      <c r="I231" s="37"/>
      <c r="J231" s="9"/>
      <c r="K231" s="9"/>
      <c r="L231" s="9"/>
      <c r="M231" s="9"/>
      <c r="N231" s="9"/>
      <c r="O231" s="9"/>
      <c r="P231" s="9"/>
      <c r="Q231" s="9"/>
      <c r="R231" s="9"/>
      <c r="S231" s="9"/>
      <c r="T231" s="9"/>
      <c r="U231" s="9"/>
      <c r="V231" s="9"/>
      <c r="W231" s="9"/>
      <c r="X231" s="9"/>
      <c r="Y231" s="9"/>
      <c r="Z231" s="9"/>
      <c r="AA231" s="9"/>
      <c r="AB231" s="9"/>
    </row>
    <row r="232" ht="15.75" customHeight="1" spans="1:28">
      <c r="A232" s="9"/>
      <c r="B232" s="9"/>
      <c r="C232" s="9"/>
      <c r="D232" s="9"/>
      <c r="E232" s="9"/>
      <c r="F232" s="9"/>
      <c r="G232" s="36"/>
      <c r="H232" s="37"/>
      <c r="I232" s="37"/>
      <c r="J232" s="9"/>
      <c r="K232" s="9"/>
      <c r="L232" s="9"/>
      <c r="M232" s="9"/>
      <c r="N232" s="9"/>
      <c r="O232" s="9"/>
      <c r="P232" s="9"/>
      <c r="Q232" s="9"/>
      <c r="R232" s="9"/>
      <c r="S232" s="9"/>
      <c r="T232" s="9"/>
      <c r="U232" s="9"/>
      <c r="V232" s="9"/>
      <c r="W232" s="9"/>
      <c r="X232" s="9"/>
      <c r="Y232" s="9"/>
      <c r="Z232" s="9"/>
      <c r="AA232" s="9"/>
      <c r="AB232" s="9"/>
    </row>
    <row r="233" ht="15.75" customHeight="1" spans="1:28">
      <c r="A233" s="9"/>
      <c r="B233" s="9"/>
      <c r="C233" s="9"/>
      <c r="D233" s="9"/>
      <c r="E233" s="9"/>
      <c r="F233" s="9"/>
      <c r="G233" s="36"/>
      <c r="H233" s="37"/>
      <c r="I233" s="37"/>
      <c r="J233" s="9"/>
      <c r="K233" s="9"/>
      <c r="L233" s="9"/>
      <c r="M233" s="9"/>
      <c r="N233" s="9"/>
      <c r="O233" s="9"/>
      <c r="P233" s="9"/>
      <c r="Q233" s="9"/>
      <c r="R233" s="9"/>
      <c r="S233" s="9"/>
      <c r="T233" s="9"/>
      <c r="U233" s="9"/>
      <c r="V233" s="9"/>
      <c r="W233" s="9"/>
      <c r="X233" s="9"/>
      <c r="Y233" s="9"/>
      <c r="Z233" s="9"/>
      <c r="AA233" s="9"/>
      <c r="AB233" s="9"/>
    </row>
    <row r="234" ht="15.75" customHeight="1" spans="1:28">
      <c r="A234" s="9"/>
      <c r="B234" s="9"/>
      <c r="C234" s="9"/>
      <c r="D234" s="9"/>
      <c r="E234" s="9"/>
      <c r="F234" s="9"/>
      <c r="G234" s="36"/>
      <c r="H234" s="37"/>
      <c r="I234" s="37"/>
      <c r="J234" s="9"/>
      <c r="K234" s="9"/>
      <c r="L234" s="9"/>
      <c r="M234" s="9"/>
      <c r="N234" s="9"/>
      <c r="O234" s="9"/>
      <c r="P234" s="9"/>
      <c r="Q234" s="9"/>
      <c r="R234" s="9"/>
      <c r="S234" s="9"/>
      <c r="T234" s="9"/>
      <c r="U234" s="9"/>
      <c r="V234" s="9"/>
      <c r="W234" s="9"/>
      <c r="X234" s="9"/>
      <c r="Y234" s="9"/>
      <c r="Z234" s="9"/>
      <c r="AA234" s="9"/>
      <c r="AB234" s="9"/>
    </row>
    <row r="235" ht="15.75" customHeight="1" spans="1:14">
      <c r="A235" s="9"/>
      <c r="B235" s="9"/>
      <c r="C235" s="9"/>
      <c r="D235" s="9"/>
      <c r="E235" s="9"/>
      <c r="F235" s="9"/>
      <c r="G235" s="36"/>
      <c r="H235" s="37"/>
      <c r="I235" s="37"/>
      <c r="J235" s="9"/>
      <c r="K235" s="9"/>
      <c r="L235" s="9"/>
      <c r="M235" s="9"/>
      <c r="N235" s="9"/>
    </row>
    <row r="236" ht="15.75" customHeight="1" spans="1:14">
      <c r="A236" s="9"/>
      <c r="B236" s="9"/>
      <c r="C236" s="9"/>
      <c r="D236" s="9"/>
      <c r="E236" s="9"/>
      <c r="F236" s="9"/>
      <c r="G236" s="36"/>
      <c r="H236" s="37"/>
      <c r="I236" s="37"/>
      <c r="J236" s="9"/>
      <c r="K236" s="9"/>
      <c r="L236" s="9"/>
      <c r="M236" s="9"/>
      <c r="N236" s="9"/>
    </row>
    <row r="237" ht="15.75" customHeight="1" spans="7:9">
      <c r="G237" s="45"/>
      <c r="H237" s="46"/>
      <c r="I237" s="46"/>
    </row>
    <row r="238" ht="15.75" customHeight="1" spans="7:9">
      <c r="G238" s="45"/>
      <c r="H238" s="46"/>
      <c r="I238" s="46"/>
    </row>
    <row r="239" ht="15.75" customHeight="1" spans="7:9">
      <c r="G239" s="45"/>
      <c r="H239" s="46"/>
      <c r="I239" s="46"/>
    </row>
    <row r="240" ht="15.75" customHeight="1" spans="7:9">
      <c r="G240" s="45"/>
      <c r="H240" s="46"/>
      <c r="I240" s="46"/>
    </row>
    <row r="241" ht="15.75" customHeight="1" spans="7:9">
      <c r="G241" s="45"/>
      <c r="H241" s="46"/>
      <c r="I241" s="46"/>
    </row>
    <row r="242" ht="15.75" customHeight="1" spans="7:9">
      <c r="G242" s="45"/>
      <c r="H242" s="46"/>
      <c r="I242" s="46"/>
    </row>
    <row r="243" ht="15.75" customHeight="1" spans="7:9">
      <c r="G243" s="45"/>
      <c r="H243" s="46"/>
      <c r="I243" s="46"/>
    </row>
    <row r="244" ht="15.75" customHeight="1" spans="7:9">
      <c r="G244" s="45"/>
      <c r="H244" s="46"/>
      <c r="I244" s="46"/>
    </row>
    <row r="245" ht="15.75" customHeight="1" spans="7:9">
      <c r="G245" s="45"/>
      <c r="H245" s="46"/>
      <c r="I245" s="46"/>
    </row>
    <row r="246" ht="15.75" customHeight="1" spans="7:9">
      <c r="G246" s="45"/>
      <c r="H246" s="46"/>
      <c r="I246" s="46"/>
    </row>
    <row r="247" ht="15.75" customHeight="1" spans="7:9">
      <c r="G247" s="45"/>
      <c r="H247" s="46"/>
      <c r="I247" s="46"/>
    </row>
    <row r="248" ht="15.75" customHeight="1" spans="7:9">
      <c r="G248" s="45"/>
      <c r="H248" s="46"/>
      <c r="I248" s="46"/>
    </row>
    <row r="249" ht="15.75" customHeight="1" spans="7:9">
      <c r="G249" s="45"/>
      <c r="H249" s="46"/>
      <c r="I249" s="46"/>
    </row>
    <row r="250" ht="15.75" customHeight="1" spans="7:9">
      <c r="G250" s="45"/>
      <c r="H250" s="46"/>
      <c r="I250" s="46"/>
    </row>
    <row r="251" ht="15.75" customHeight="1" spans="7:9">
      <c r="G251" s="45"/>
      <c r="H251" s="46"/>
      <c r="I251" s="46"/>
    </row>
    <row r="252" ht="15.75" customHeight="1" spans="7:9">
      <c r="G252" s="45"/>
      <c r="H252" s="46"/>
      <c r="I252" s="46"/>
    </row>
    <row r="253" ht="15.75" customHeight="1" spans="7:9">
      <c r="G253" s="45"/>
      <c r="H253" s="46"/>
      <c r="I253" s="46"/>
    </row>
    <row r="254" ht="15.75" customHeight="1" spans="7:9">
      <c r="G254" s="45"/>
      <c r="H254" s="46"/>
      <c r="I254" s="46"/>
    </row>
    <row r="255" ht="15.75" customHeight="1" spans="7:9">
      <c r="G255" s="45"/>
      <c r="H255" s="46"/>
      <c r="I255" s="46"/>
    </row>
    <row r="256" ht="15.75" customHeight="1" spans="7:9">
      <c r="G256" s="45"/>
      <c r="H256" s="46"/>
      <c r="I256" s="46"/>
    </row>
    <row r="257" ht="15.75" customHeight="1" spans="7:9">
      <c r="G257" s="45"/>
      <c r="H257" s="46"/>
      <c r="I257" s="46"/>
    </row>
    <row r="258" ht="15.75" customHeight="1" spans="7:9">
      <c r="G258" s="45"/>
      <c r="H258" s="46"/>
      <c r="I258" s="46"/>
    </row>
    <row r="259" ht="15.75" customHeight="1" spans="7:9">
      <c r="G259" s="45"/>
      <c r="H259" s="46"/>
      <c r="I259" s="46"/>
    </row>
    <row r="260" ht="15.75" customHeight="1" spans="7:9">
      <c r="G260" s="45"/>
      <c r="H260" s="46"/>
      <c r="I260" s="46"/>
    </row>
    <row r="261" ht="15.75" customHeight="1" spans="7:9">
      <c r="G261" s="45"/>
      <c r="H261" s="46"/>
      <c r="I261" s="46"/>
    </row>
    <row r="262" ht="15.75" customHeight="1" spans="7:9">
      <c r="G262" s="45"/>
      <c r="H262" s="46"/>
      <c r="I262" s="46"/>
    </row>
    <row r="263" ht="15.75" customHeight="1" spans="7:9">
      <c r="G263" s="45"/>
      <c r="H263" s="46"/>
      <c r="I263" s="46"/>
    </row>
    <row r="264" ht="15.75" customHeight="1" spans="7:9">
      <c r="G264" s="45"/>
      <c r="H264" s="46"/>
      <c r="I264" s="46"/>
    </row>
    <row r="265" ht="15.75" customHeight="1" spans="7:9">
      <c r="G265" s="45"/>
      <c r="H265" s="46"/>
      <c r="I265" s="46"/>
    </row>
    <row r="266" ht="15.75" customHeight="1" spans="7:9">
      <c r="G266" s="45"/>
      <c r="H266" s="46"/>
      <c r="I266" s="46"/>
    </row>
    <row r="267" ht="15.75" customHeight="1" spans="7:9">
      <c r="G267" s="45"/>
      <c r="H267" s="46"/>
      <c r="I267" s="46"/>
    </row>
    <row r="268" ht="15.75" customHeight="1" spans="7:9">
      <c r="G268" s="45"/>
      <c r="H268" s="46"/>
      <c r="I268" s="46"/>
    </row>
    <row r="269" ht="15.75" customHeight="1" spans="7:9">
      <c r="G269" s="45"/>
      <c r="H269" s="46"/>
      <c r="I269" s="46"/>
    </row>
    <row r="270" ht="15.75" customHeight="1" spans="7:9">
      <c r="G270" s="45"/>
      <c r="H270" s="46"/>
      <c r="I270" s="46"/>
    </row>
    <row r="271" ht="15.75" customHeight="1" spans="7:9">
      <c r="G271" s="45"/>
      <c r="H271" s="46"/>
      <c r="I271" s="46"/>
    </row>
    <row r="272" ht="15.75" customHeight="1" spans="7:9">
      <c r="G272" s="45"/>
      <c r="H272" s="46"/>
      <c r="I272" s="46"/>
    </row>
    <row r="273" ht="15.75" customHeight="1" spans="7:9">
      <c r="G273" s="45"/>
      <c r="H273" s="46"/>
      <c r="I273" s="46"/>
    </row>
    <row r="274" ht="15.75" customHeight="1" spans="7:9">
      <c r="G274" s="45"/>
      <c r="H274" s="46"/>
      <c r="I274" s="46"/>
    </row>
    <row r="275" ht="15.75" customHeight="1" spans="7:9">
      <c r="G275" s="45"/>
      <c r="H275" s="46"/>
      <c r="I275" s="46"/>
    </row>
    <row r="276" ht="15.75" customHeight="1" spans="7:9">
      <c r="G276" s="45"/>
      <c r="H276" s="46"/>
      <c r="I276" s="46"/>
    </row>
    <row r="277" ht="15.75" customHeight="1" spans="7:9">
      <c r="G277" s="45"/>
      <c r="H277" s="46"/>
      <c r="I277" s="46"/>
    </row>
    <row r="278" ht="15.75" customHeight="1" spans="7:9">
      <c r="G278" s="45"/>
      <c r="H278" s="46"/>
      <c r="I278" s="46"/>
    </row>
    <row r="279" ht="15.75" customHeight="1" spans="7:9">
      <c r="G279" s="45"/>
      <c r="H279" s="46"/>
      <c r="I279" s="46"/>
    </row>
    <row r="280" ht="15.75" customHeight="1" spans="7:9">
      <c r="G280" s="45"/>
      <c r="H280" s="46"/>
      <c r="I280" s="46"/>
    </row>
    <row r="281" ht="15.75" customHeight="1" spans="7:9">
      <c r="G281" s="45"/>
      <c r="H281" s="46"/>
      <c r="I281" s="46"/>
    </row>
    <row r="282" ht="15.75" customHeight="1" spans="7:9">
      <c r="G282" s="45"/>
      <c r="H282" s="46"/>
      <c r="I282" s="46"/>
    </row>
    <row r="283" ht="15.75" customHeight="1" spans="7:9">
      <c r="G283" s="45"/>
      <c r="H283" s="46"/>
      <c r="I283" s="46"/>
    </row>
    <row r="284" ht="15.75" customHeight="1" spans="7:9">
      <c r="G284" s="45"/>
      <c r="H284" s="46"/>
      <c r="I284" s="46"/>
    </row>
    <row r="285" ht="15.75" customHeight="1" spans="7:9">
      <c r="G285" s="45"/>
      <c r="H285" s="46"/>
      <c r="I285" s="46"/>
    </row>
    <row r="286" ht="15.75" customHeight="1" spans="7:9">
      <c r="G286" s="45"/>
      <c r="H286" s="46"/>
      <c r="I286" s="46"/>
    </row>
    <row r="287" ht="15.75" customHeight="1" spans="7:9">
      <c r="G287" s="45"/>
      <c r="H287" s="46"/>
      <c r="I287" s="46"/>
    </row>
    <row r="288" ht="15.75" customHeight="1" spans="7:9">
      <c r="G288" s="45"/>
      <c r="H288" s="46"/>
      <c r="I288" s="46"/>
    </row>
    <row r="289" ht="15.75" customHeight="1" spans="7:9">
      <c r="G289" s="45"/>
      <c r="H289" s="46"/>
      <c r="I289" s="46"/>
    </row>
    <row r="290" ht="15.75" customHeight="1" spans="7:9">
      <c r="G290" s="45"/>
      <c r="H290" s="46"/>
      <c r="I290" s="46"/>
    </row>
    <row r="291" ht="15.75" customHeight="1" spans="7:9">
      <c r="G291" s="45"/>
      <c r="H291" s="46"/>
      <c r="I291" s="46"/>
    </row>
    <row r="292" ht="15.75" customHeight="1" spans="7:9">
      <c r="G292" s="45"/>
      <c r="H292" s="46"/>
      <c r="I292" s="46"/>
    </row>
    <row r="293" ht="15.75" customHeight="1" spans="7:9">
      <c r="G293" s="45"/>
      <c r="H293" s="46"/>
      <c r="I293" s="46"/>
    </row>
    <row r="294" ht="15.75" customHeight="1" spans="7:9">
      <c r="G294" s="45"/>
      <c r="H294" s="46"/>
      <c r="I294" s="46"/>
    </row>
    <row r="295" ht="15.75" customHeight="1" spans="7:9">
      <c r="G295" s="45"/>
      <c r="H295" s="46"/>
      <c r="I295" s="46"/>
    </row>
    <row r="296" ht="15.75" customHeight="1" spans="7:9">
      <c r="G296" s="45"/>
      <c r="H296" s="46"/>
      <c r="I296" s="46"/>
    </row>
    <row r="297" ht="15.75" customHeight="1" spans="7:9">
      <c r="G297" s="45"/>
      <c r="H297" s="46"/>
      <c r="I297" s="46"/>
    </row>
    <row r="298" ht="15.75" customHeight="1" spans="7:9">
      <c r="G298" s="45"/>
      <c r="H298" s="46"/>
      <c r="I298" s="46"/>
    </row>
    <row r="299" ht="15.75" customHeight="1" spans="7:9">
      <c r="G299" s="45"/>
      <c r="H299" s="46"/>
      <c r="I299" s="46"/>
    </row>
    <row r="300" ht="15.75" customHeight="1" spans="7:9">
      <c r="G300" s="45"/>
      <c r="H300" s="46"/>
      <c r="I300" s="46"/>
    </row>
    <row r="301" ht="15.75" customHeight="1" spans="7:9">
      <c r="G301" s="45"/>
      <c r="H301" s="46"/>
      <c r="I301" s="46"/>
    </row>
    <row r="302" ht="15.75" customHeight="1" spans="7:9">
      <c r="G302" s="45"/>
      <c r="H302" s="46"/>
      <c r="I302" s="46"/>
    </row>
    <row r="303" ht="15.75" customHeight="1" spans="7:9">
      <c r="G303" s="45"/>
      <c r="H303" s="46"/>
      <c r="I303" s="46"/>
    </row>
    <row r="304" ht="15.75" customHeight="1" spans="7:9">
      <c r="G304" s="45"/>
      <c r="H304" s="46"/>
      <c r="I304" s="46"/>
    </row>
    <row r="305" ht="15.75" customHeight="1" spans="7:9">
      <c r="G305" s="45"/>
      <c r="H305" s="46"/>
      <c r="I305" s="46"/>
    </row>
    <row r="306" ht="15.75" customHeight="1" spans="7:9">
      <c r="G306" s="45"/>
      <c r="H306" s="46"/>
      <c r="I306" s="46"/>
    </row>
    <row r="307" ht="15.75" customHeight="1" spans="7:9">
      <c r="G307" s="45"/>
      <c r="H307" s="46"/>
      <c r="I307" s="46"/>
    </row>
    <row r="308" ht="15.75" customHeight="1" spans="7:9">
      <c r="G308" s="45"/>
      <c r="H308" s="46"/>
      <c r="I308" s="46"/>
    </row>
    <row r="309" ht="15.75" customHeight="1" spans="7:9">
      <c r="G309" s="45"/>
      <c r="H309" s="46"/>
      <c r="I309" s="46"/>
    </row>
    <row r="310" ht="15.75" customHeight="1" spans="7:9">
      <c r="G310" s="45"/>
      <c r="H310" s="46"/>
      <c r="I310" s="46"/>
    </row>
    <row r="311" ht="15.75" customHeight="1" spans="7:9">
      <c r="G311" s="45"/>
      <c r="H311" s="46"/>
      <c r="I311" s="46"/>
    </row>
    <row r="312" ht="15.75" customHeight="1" spans="7:9">
      <c r="G312" s="45"/>
      <c r="H312" s="46"/>
      <c r="I312" s="46"/>
    </row>
    <row r="313" ht="15.75" customHeight="1" spans="7:9">
      <c r="G313" s="45"/>
      <c r="H313" s="46"/>
      <c r="I313" s="46"/>
    </row>
    <row r="314" ht="15.75" customHeight="1" spans="7:9">
      <c r="G314" s="45"/>
      <c r="H314" s="46"/>
      <c r="I314" s="46"/>
    </row>
    <row r="315" ht="15.75" customHeight="1" spans="7:9">
      <c r="G315" s="45"/>
      <c r="H315" s="46"/>
      <c r="I315" s="46"/>
    </row>
    <row r="316" ht="15.75" customHeight="1" spans="7:9">
      <c r="G316" s="45"/>
      <c r="H316" s="46"/>
      <c r="I316" s="46"/>
    </row>
    <row r="317" ht="15.75" customHeight="1" spans="7:9">
      <c r="G317" s="45"/>
      <c r="H317" s="46"/>
      <c r="I317" s="46"/>
    </row>
    <row r="318" ht="15.75" customHeight="1" spans="7:9">
      <c r="G318" s="45"/>
      <c r="H318" s="46"/>
      <c r="I318" s="46"/>
    </row>
    <row r="319" ht="15.75" customHeight="1" spans="7:9">
      <c r="G319" s="45"/>
      <c r="H319" s="46"/>
      <c r="I319" s="46"/>
    </row>
    <row r="320" ht="15.75" customHeight="1" spans="7:9">
      <c r="G320" s="45"/>
      <c r="H320" s="46"/>
      <c r="I320" s="46"/>
    </row>
    <row r="321" ht="15.75" customHeight="1" spans="7:9">
      <c r="G321" s="45"/>
      <c r="H321" s="46"/>
      <c r="I321" s="46"/>
    </row>
    <row r="322" ht="15.75" customHeight="1" spans="7:9">
      <c r="G322" s="45"/>
      <c r="H322" s="46"/>
      <c r="I322" s="46"/>
    </row>
    <row r="323" ht="15.75" customHeight="1" spans="7:9">
      <c r="G323" s="45"/>
      <c r="H323" s="46"/>
      <c r="I323" s="46"/>
    </row>
    <row r="324" ht="15.75" customHeight="1" spans="7:9">
      <c r="G324" s="45"/>
      <c r="H324" s="46"/>
      <c r="I324" s="46"/>
    </row>
    <row r="325" ht="15.75" customHeight="1" spans="7:9">
      <c r="G325" s="45"/>
      <c r="H325" s="46"/>
      <c r="I325" s="46"/>
    </row>
    <row r="326" ht="15.75" customHeight="1" spans="7:9">
      <c r="G326" s="45"/>
      <c r="H326" s="46"/>
      <c r="I326" s="46"/>
    </row>
    <row r="327" ht="15.75" customHeight="1" spans="7:9">
      <c r="G327" s="45"/>
      <c r="H327" s="46"/>
      <c r="I327" s="46"/>
    </row>
    <row r="328" ht="15.75" customHeight="1" spans="7:9">
      <c r="G328" s="45"/>
      <c r="H328" s="46"/>
      <c r="I328" s="46"/>
    </row>
    <row r="329" ht="15.75" customHeight="1" spans="7:9">
      <c r="G329" s="45"/>
      <c r="H329" s="46"/>
      <c r="I329" s="46"/>
    </row>
    <row r="330" ht="15.75" customHeight="1" spans="7:9">
      <c r="G330" s="45"/>
      <c r="H330" s="46"/>
      <c r="I330" s="46"/>
    </row>
    <row r="331" ht="15.75" customHeight="1" spans="7:9">
      <c r="G331" s="45"/>
      <c r="H331" s="46"/>
      <c r="I331" s="46"/>
    </row>
    <row r="332" ht="15.75" customHeight="1" spans="7:9">
      <c r="G332" s="45"/>
      <c r="H332" s="46"/>
      <c r="I332" s="46"/>
    </row>
    <row r="333" ht="15.75" customHeight="1" spans="7:9">
      <c r="G333" s="45"/>
      <c r="H333" s="46"/>
      <c r="I333" s="46"/>
    </row>
    <row r="334" ht="15.75" customHeight="1" spans="7:9">
      <c r="G334" s="45"/>
      <c r="H334" s="46"/>
      <c r="I334" s="46"/>
    </row>
    <row r="335" ht="15.75" customHeight="1" spans="7:9">
      <c r="G335" s="45"/>
      <c r="H335" s="46"/>
      <c r="I335" s="46"/>
    </row>
    <row r="336" ht="15.75" customHeight="1" spans="7:9">
      <c r="G336" s="45"/>
      <c r="H336" s="46"/>
      <c r="I336" s="46"/>
    </row>
    <row r="337" ht="15.75" customHeight="1" spans="7:9">
      <c r="G337" s="45"/>
      <c r="H337" s="46"/>
      <c r="I337" s="46"/>
    </row>
    <row r="338" ht="15.75" customHeight="1" spans="7:9">
      <c r="G338" s="45"/>
      <c r="H338" s="46"/>
      <c r="I338" s="46"/>
    </row>
    <row r="339" ht="15.75" customHeight="1" spans="7:9">
      <c r="G339" s="45"/>
      <c r="H339" s="46"/>
      <c r="I339" s="46"/>
    </row>
    <row r="340" ht="15.75" customHeight="1" spans="7:9">
      <c r="G340" s="45"/>
      <c r="H340" s="46"/>
      <c r="I340" s="46"/>
    </row>
    <row r="341" ht="15.75" customHeight="1" spans="7:9">
      <c r="G341" s="45"/>
      <c r="H341" s="46"/>
      <c r="I341" s="46"/>
    </row>
    <row r="342" ht="15.75" customHeight="1" spans="7:9">
      <c r="G342" s="45"/>
      <c r="H342" s="46"/>
      <c r="I342" s="46"/>
    </row>
    <row r="343" ht="15.75" customHeight="1" spans="7:9">
      <c r="G343" s="45"/>
      <c r="H343" s="46"/>
      <c r="I343" s="46"/>
    </row>
    <row r="344" ht="15.75" customHeight="1" spans="7:9">
      <c r="G344" s="45"/>
      <c r="H344" s="46"/>
      <c r="I344" s="46"/>
    </row>
    <row r="345" ht="15.75" customHeight="1" spans="7:9">
      <c r="G345" s="45"/>
      <c r="H345" s="46"/>
      <c r="I345" s="46"/>
    </row>
    <row r="346" ht="15.75" customHeight="1" spans="7:9">
      <c r="G346" s="45"/>
      <c r="H346" s="46"/>
      <c r="I346" s="46"/>
    </row>
    <row r="347" ht="15.75" customHeight="1" spans="7:9">
      <c r="G347" s="45"/>
      <c r="H347" s="46"/>
      <c r="I347" s="46"/>
    </row>
    <row r="348" ht="15.75" customHeight="1" spans="7:9">
      <c r="G348" s="45"/>
      <c r="H348" s="46"/>
      <c r="I348" s="46"/>
    </row>
    <row r="349" ht="15.75" customHeight="1" spans="7:9">
      <c r="G349" s="45"/>
      <c r="H349" s="46"/>
      <c r="I349" s="46"/>
    </row>
    <row r="350" ht="15.75" customHeight="1" spans="7:9">
      <c r="G350" s="45"/>
      <c r="H350" s="46"/>
      <c r="I350" s="46"/>
    </row>
    <row r="351" ht="15.75" customHeight="1" spans="7:9">
      <c r="G351" s="45"/>
      <c r="H351" s="46"/>
      <c r="I351" s="46"/>
    </row>
    <row r="352" ht="15.75" customHeight="1" spans="7:9">
      <c r="G352" s="45"/>
      <c r="H352" s="46"/>
      <c r="I352" s="46"/>
    </row>
    <row r="353" ht="15.75" customHeight="1" spans="7:9">
      <c r="G353" s="45"/>
      <c r="H353" s="46"/>
      <c r="I353" s="46"/>
    </row>
    <row r="354" ht="15.75" customHeight="1" spans="7:9">
      <c r="G354" s="45"/>
      <c r="H354" s="46"/>
      <c r="I354" s="46"/>
    </row>
    <row r="355" ht="15.75" customHeight="1" spans="7:9">
      <c r="G355" s="45"/>
      <c r="H355" s="46"/>
      <c r="I355" s="46"/>
    </row>
    <row r="356" ht="15.75" customHeight="1" spans="7:9">
      <c r="G356" s="45"/>
      <c r="H356" s="46"/>
      <c r="I356" s="46"/>
    </row>
    <row r="357" ht="15.75" customHeight="1" spans="7:9">
      <c r="G357" s="45"/>
      <c r="H357" s="46"/>
      <c r="I357" s="46"/>
    </row>
    <row r="358" ht="15.75" customHeight="1" spans="7:9">
      <c r="G358" s="45"/>
      <c r="H358" s="46"/>
      <c r="I358" s="46"/>
    </row>
    <row r="359" ht="15.75" customHeight="1" spans="7:9">
      <c r="G359" s="45"/>
      <c r="H359" s="46"/>
      <c r="I359" s="46"/>
    </row>
    <row r="360" ht="15.75" customHeight="1" spans="7:9">
      <c r="G360" s="45"/>
      <c r="H360" s="46"/>
      <c r="I360" s="46"/>
    </row>
    <row r="361" ht="15.75" customHeight="1" spans="7:9">
      <c r="G361" s="45"/>
      <c r="H361" s="46"/>
      <c r="I361" s="46"/>
    </row>
    <row r="362" ht="15.75" customHeight="1" spans="7:9">
      <c r="G362" s="45"/>
      <c r="H362" s="46"/>
      <c r="I362" s="46"/>
    </row>
    <row r="363" ht="15.75" customHeight="1" spans="7:9">
      <c r="G363" s="45"/>
      <c r="H363" s="46"/>
      <c r="I363" s="46"/>
    </row>
    <row r="364" ht="15.75" customHeight="1" spans="7:9">
      <c r="G364" s="45"/>
      <c r="H364" s="46"/>
      <c r="I364" s="46"/>
    </row>
    <row r="365" ht="15.75" customHeight="1" spans="7:9">
      <c r="G365" s="45"/>
      <c r="H365" s="46"/>
      <c r="I365" s="46"/>
    </row>
    <row r="366" ht="15.75" customHeight="1" spans="7:9">
      <c r="G366" s="45"/>
      <c r="H366" s="46"/>
      <c r="I366" s="46"/>
    </row>
    <row r="367" ht="15.75" customHeight="1" spans="7:9">
      <c r="G367" s="45"/>
      <c r="H367" s="46"/>
      <c r="I367" s="46"/>
    </row>
    <row r="368" ht="15.75" customHeight="1" spans="7:9">
      <c r="G368" s="45"/>
      <c r="H368" s="46"/>
      <c r="I368" s="46"/>
    </row>
    <row r="369" ht="15.75" customHeight="1" spans="7:9">
      <c r="G369" s="45"/>
      <c r="H369" s="46"/>
      <c r="I369" s="46"/>
    </row>
    <row r="370" ht="15.75" customHeight="1" spans="7:9">
      <c r="G370" s="45"/>
      <c r="H370" s="46"/>
      <c r="I370" s="46"/>
    </row>
    <row r="371" ht="15.75" customHeight="1" spans="7:9">
      <c r="G371" s="45"/>
      <c r="H371" s="46"/>
      <c r="I371" s="46"/>
    </row>
    <row r="372" ht="15.75" customHeight="1" spans="7:9">
      <c r="G372" s="45"/>
      <c r="H372" s="46"/>
      <c r="I372" s="46"/>
    </row>
    <row r="373" ht="15.75" customHeight="1" spans="7:9">
      <c r="G373" s="45"/>
      <c r="H373" s="46"/>
      <c r="I373" s="46"/>
    </row>
    <row r="374" ht="15.75" customHeight="1" spans="7:9">
      <c r="G374" s="45"/>
      <c r="H374" s="46"/>
      <c r="I374" s="46"/>
    </row>
    <row r="375" ht="15.75" customHeight="1" spans="7:9">
      <c r="G375" s="45"/>
      <c r="H375" s="46"/>
      <c r="I375" s="46"/>
    </row>
    <row r="376" ht="15.75" customHeight="1" spans="7:9">
      <c r="G376" s="45"/>
      <c r="H376" s="46"/>
      <c r="I376" s="46"/>
    </row>
    <row r="377" ht="15.75" customHeight="1" spans="7:9">
      <c r="G377" s="45"/>
      <c r="H377" s="46"/>
      <c r="I377" s="46"/>
    </row>
    <row r="378" ht="15.75" customHeight="1" spans="7:9">
      <c r="G378" s="45"/>
      <c r="H378" s="46"/>
      <c r="I378" s="46"/>
    </row>
    <row r="379" ht="15.75" customHeight="1" spans="7:9">
      <c r="G379" s="45"/>
      <c r="H379" s="46"/>
      <c r="I379" s="46"/>
    </row>
    <row r="380" ht="15.75" customHeight="1" spans="7:9">
      <c r="G380" s="45"/>
      <c r="H380" s="46"/>
      <c r="I380" s="46"/>
    </row>
    <row r="381" ht="15.75" customHeight="1" spans="7:9">
      <c r="G381" s="45"/>
      <c r="H381" s="46"/>
      <c r="I381" s="46"/>
    </row>
    <row r="382" ht="15.75" customHeight="1" spans="7:9">
      <c r="G382" s="45"/>
      <c r="H382" s="46"/>
      <c r="I382" s="46"/>
    </row>
    <row r="383" ht="15.75" customHeight="1" spans="7:9">
      <c r="G383" s="45"/>
      <c r="H383" s="46"/>
      <c r="I383" s="46"/>
    </row>
    <row r="384" ht="15.75" customHeight="1" spans="7:9">
      <c r="G384" s="45"/>
      <c r="H384" s="46"/>
      <c r="I384" s="46"/>
    </row>
    <row r="385" ht="15.75" customHeight="1" spans="7:9">
      <c r="G385" s="45"/>
      <c r="H385" s="46"/>
      <c r="I385" s="46"/>
    </row>
    <row r="386" ht="15.75" customHeight="1" spans="7:9">
      <c r="G386" s="45"/>
      <c r="H386" s="46"/>
      <c r="I386" s="46"/>
    </row>
    <row r="387" ht="15.75" customHeight="1" spans="7:9">
      <c r="G387" s="45"/>
      <c r="H387" s="46"/>
      <c r="I387" s="46"/>
    </row>
    <row r="388" ht="15.75" customHeight="1" spans="7:9">
      <c r="G388" s="45"/>
      <c r="H388" s="46"/>
      <c r="I388" s="46"/>
    </row>
    <row r="389" ht="15.75" customHeight="1" spans="7:9">
      <c r="G389" s="45"/>
      <c r="H389" s="46"/>
      <c r="I389" s="46"/>
    </row>
    <row r="390" ht="15.75" customHeight="1" spans="7:9">
      <c r="G390" s="45"/>
      <c r="H390" s="46"/>
      <c r="I390" s="46"/>
    </row>
    <row r="391" ht="15.75" customHeight="1" spans="7:9">
      <c r="G391" s="45"/>
      <c r="H391" s="46"/>
      <c r="I391" s="46"/>
    </row>
    <row r="392" ht="15.75" customHeight="1" spans="7:9">
      <c r="G392" s="45"/>
      <c r="H392" s="46"/>
      <c r="I392" s="46"/>
    </row>
    <row r="393" ht="15.75" customHeight="1" spans="7:9">
      <c r="G393" s="45"/>
      <c r="H393" s="46"/>
      <c r="I393" s="46"/>
    </row>
    <row r="394" ht="15.75" customHeight="1" spans="7:9">
      <c r="G394" s="45"/>
      <c r="H394" s="46"/>
      <c r="I394" s="46"/>
    </row>
    <row r="395" ht="15.75" customHeight="1" spans="7:9">
      <c r="G395" s="45"/>
      <c r="H395" s="46"/>
      <c r="I395" s="46"/>
    </row>
    <row r="396" ht="15.75" customHeight="1" spans="7:9">
      <c r="G396" s="45"/>
      <c r="H396" s="46"/>
      <c r="I396" s="46"/>
    </row>
    <row r="397" ht="15.75" customHeight="1" spans="7:9">
      <c r="G397" s="45"/>
      <c r="H397" s="46"/>
      <c r="I397" s="46"/>
    </row>
    <row r="398" ht="15.75" customHeight="1" spans="7:9">
      <c r="G398" s="45"/>
      <c r="H398" s="46"/>
      <c r="I398" s="46"/>
    </row>
    <row r="399" ht="15.75" customHeight="1" spans="7:9">
      <c r="G399" s="45"/>
      <c r="H399" s="46"/>
      <c r="I399" s="46"/>
    </row>
    <row r="400" ht="15.75" customHeight="1" spans="7:9">
      <c r="G400" s="45"/>
      <c r="H400" s="46"/>
      <c r="I400" s="46"/>
    </row>
    <row r="401" ht="15.75" customHeight="1" spans="7:9">
      <c r="G401" s="45"/>
      <c r="H401" s="46"/>
      <c r="I401" s="46"/>
    </row>
    <row r="402" ht="15.75" customHeight="1" spans="7:9">
      <c r="G402" s="45"/>
      <c r="H402" s="46"/>
      <c r="I402" s="46"/>
    </row>
    <row r="403" ht="15.75" customHeight="1" spans="7:9">
      <c r="G403" s="45"/>
      <c r="H403" s="46"/>
      <c r="I403" s="46"/>
    </row>
    <row r="404" ht="15.75" customHeight="1" spans="7:9">
      <c r="G404" s="45"/>
      <c r="H404" s="46"/>
      <c r="I404" s="46"/>
    </row>
    <row r="405" ht="15.75" customHeight="1" spans="7:9">
      <c r="G405" s="45"/>
      <c r="H405" s="46"/>
      <c r="I405" s="46"/>
    </row>
    <row r="406" ht="15.75" customHeight="1" spans="7:9">
      <c r="G406" s="45"/>
      <c r="H406" s="46"/>
      <c r="I406" s="46"/>
    </row>
    <row r="407" ht="15.75" customHeight="1" spans="7:9">
      <c r="G407" s="45"/>
      <c r="H407" s="46"/>
      <c r="I407" s="46"/>
    </row>
    <row r="408" ht="15.75" customHeight="1" spans="7:9">
      <c r="G408" s="45"/>
      <c r="H408" s="46"/>
      <c r="I408" s="46"/>
    </row>
    <row r="409" ht="15.75" customHeight="1" spans="7:9">
      <c r="G409" s="45"/>
      <c r="H409" s="46"/>
      <c r="I409" s="46"/>
    </row>
    <row r="410" ht="15.75" customHeight="1" spans="7:9">
      <c r="G410" s="45"/>
      <c r="H410" s="46"/>
      <c r="I410" s="46"/>
    </row>
    <row r="411" ht="15.75" customHeight="1" spans="7:9">
      <c r="G411" s="45"/>
      <c r="H411" s="46"/>
      <c r="I411" s="46"/>
    </row>
    <row r="412" ht="15.75" customHeight="1" spans="7:9">
      <c r="G412" s="45"/>
      <c r="H412" s="46"/>
      <c r="I412" s="46"/>
    </row>
    <row r="413" ht="15.75" customHeight="1" spans="7:9">
      <c r="G413" s="45"/>
      <c r="H413" s="46"/>
      <c r="I413" s="46"/>
    </row>
    <row r="414" ht="15.75" customHeight="1" spans="7:9">
      <c r="G414" s="45"/>
      <c r="H414" s="46"/>
      <c r="I414" s="46"/>
    </row>
    <row r="415" ht="15.75" customHeight="1" spans="7:9">
      <c r="G415" s="45"/>
      <c r="H415" s="46"/>
      <c r="I415" s="46"/>
    </row>
    <row r="416" ht="15.75" customHeight="1" spans="7:9">
      <c r="G416" s="45"/>
      <c r="H416" s="46"/>
      <c r="I416" s="46"/>
    </row>
    <row r="417" ht="15.75" customHeight="1" spans="7:9">
      <c r="G417" s="45"/>
      <c r="H417" s="46"/>
      <c r="I417" s="46"/>
    </row>
    <row r="418" ht="15.75" customHeight="1" spans="7:9">
      <c r="G418" s="45"/>
      <c r="H418" s="46"/>
      <c r="I418" s="46"/>
    </row>
    <row r="419" ht="15.75" customHeight="1" spans="7:9">
      <c r="G419" s="45"/>
      <c r="H419" s="46"/>
      <c r="I419" s="46"/>
    </row>
    <row r="420" ht="15.75" customHeight="1" spans="7:9">
      <c r="G420" s="45"/>
      <c r="H420" s="46"/>
      <c r="I420" s="46"/>
    </row>
    <row r="421" ht="15.75" customHeight="1" spans="7:9">
      <c r="G421" s="45"/>
      <c r="H421" s="46"/>
      <c r="I421" s="46"/>
    </row>
    <row r="422" ht="15.75" customHeight="1" spans="7:9">
      <c r="G422" s="45"/>
      <c r="H422" s="46"/>
      <c r="I422" s="46"/>
    </row>
    <row r="423" ht="15.75" customHeight="1" spans="7:9">
      <c r="G423" s="45"/>
      <c r="H423" s="46"/>
      <c r="I423" s="46"/>
    </row>
    <row r="424" ht="15.75" customHeight="1" spans="7:9">
      <c r="G424" s="45"/>
      <c r="H424" s="46"/>
      <c r="I424" s="46"/>
    </row>
    <row r="425" ht="15.75" customHeight="1" spans="7:9">
      <c r="G425" s="45"/>
      <c r="H425" s="46"/>
      <c r="I425" s="46"/>
    </row>
    <row r="426" ht="15.75" customHeight="1" spans="7:9">
      <c r="G426" s="45"/>
      <c r="H426" s="46"/>
      <c r="I426" s="46"/>
    </row>
    <row r="427" ht="15.75" customHeight="1" spans="7:9">
      <c r="G427" s="45"/>
      <c r="H427" s="46"/>
      <c r="I427" s="46"/>
    </row>
    <row r="428" ht="15.75" customHeight="1" spans="7:9">
      <c r="G428" s="45"/>
      <c r="H428" s="46"/>
      <c r="I428" s="46"/>
    </row>
    <row r="429" ht="15.75" customHeight="1" spans="7:9">
      <c r="G429" s="45"/>
      <c r="H429" s="46"/>
      <c r="I429" s="46"/>
    </row>
    <row r="430" ht="15.75" customHeight="1" spans="7:9">
      <c r="G430" s="45"/>
      <c r="H430" s="46"/>
      <c r="I430" s="46"/>
    </row>
    <row r="431" ht="15.75" customHeight="1" spans="7:9">
      <c r="G431" s="45"/>
      <c r="H431" s="46"/>
      <c r="I431" s="46"/>
    </row>
    <row r="432" ht="15.75" customHeight="1" spans="7:9">
      <c r="G432" s="45"/>
      <c r="H432" s="46"/>
      <c r="I432" s="46"/>
    </row>
    <row r="433" ht="15.75" customHeight="1" spans="7:9">
      <c r="G433" s="45"/>
      <c r="H433" s="46"/>
      <c r="I433" s="46"/>
    </row>
    <row r="434" ht="15.75" customHeight="1" spans="7:9">
      <c r="G434" s="45"/>
      <c r="H434" s="46"/>
      <c r="I434" s="46"/>
    </row>
    <row r="435" ht="15.75" customHeight="1" spans="7:9">
      <c r="G435" s="45"/>
      <c r="H435" s="46"/>
      <c r="I435" s="46"/>
    </row>
    <row r="436" ht="15.75" customHeight="1" spans="7:9">
      <c r="G436" s="45"/>
      <c r="H436" s="46"/>
      <c r="I436" s="46"/>
    </row>
    <row r="437" ht="15.75" customHeight="1" spans="7:9">
      <c r="G437" s="45"/>
      <c r="H437" s="46"/>
      <c r="I437" s="46"/>
    </row>
    <row r="438" ht="15.75" customHeight="1" spans="7:9">
      <c r="G438" s="45"/>
      <c r="H438" s="46"/>
      <c r="I438" s="46"/>
    </row>
    <row r="439" ht="15.75" customHeight="1" spans="7:9">
      <c r="G439" s="45"/>
      <c r="H439" s="46"/>
      <c r="I439" s="46"/>
    </row>
    <row r="440" ht="15.75" customHeight="1" spans="7:9">
      <c r="G440" s="45"/>
      <c r="H440" s="46"/>
      <c r="I440" s="46"/>
    </row>
    <row r="441" ht="15.75" customHeight="1" spans="7:9">
      <c r="G441" s="45"/>
      <c r="H441" s="46"/>
      <c r="I441" s="46"/>
    </row>
    <row r="442" ht="15.75" customHeight="1" spans="7:9">
      <c r="G442" s="45"/>
      <c r="H442" s="46"/>
      <c r="I442" s="46"/>
    </row>
    <row r="443" ht="15.75" customHeight="1" spans="7:9">
      <c r="G443" s="45"/>
      <c r="H443" s="46"/>
      <c r="I443" s="46"/>
    </row>
    <row r="444" ht="15.75" customHeight="1" spans="7:9">
      <c r="G444" s="45"/>
      <c r="H444" s="46"/>
      <c r="I444" s="46"/>
    </row>
    <row r="445" ht="15.75" customHeight="1" spans="7:9">
      <c r="G445" s="45"/>
      <c r="H445" s="46"/>
      <c r="I445" s="46"/>
    </row>
    <row r="446" ht="15.75" customHeight="1" spans="7:9">
      <c r="G446" s="45"/>
      <c r="H446" s="46"/>
      <c r="I446" s="46"/>
    </row>
    <row r="447" ht="15.75" customHeight="1" spans="7:9">
      <c r="G447" s="45"/>
      <c r="H447" s="46"/>
      <c r="I447" s="46"/>
    </row>
    <row r="448" ht="15.75" customHeight="1" spans="7:9">
      <c r="G448" s="45"/>
      <c r="H448" s="46"/>
      <c r="I448" s="46"/>
    </row>
    <row r="449" ht="15.75" customHeight="1" spans="7:9">
      <c r="G449" s="45"/>
      <c r="H449" s="46"/>
      <c r="I449" s="46"/>
    </row>
    <row r="450" ht="15.75" customHeight="1" spans="7:9">
      <c r="G450" s="45"/>
      <c r="H450" s="46"/>
      <c r="I450" s="46"/>
    </row>
    <row r="451" ht="15.75" customHeight="1" spans="7:9">
      <c r="G451" s="45"/>
      <c r="H451" s="46"/>
      <c r="I451" s="46"/>
    </row>
    <row r="452" ht="15.75" customHeight="1" spans="7:9">
      <c r="G452" s="45"/>
      <c r="H452" s="46"/>
      <c r="I452" s="46"/>
    </row>
    <row r="453" ht="15.75" customHeight="1" spans="7:9">
      <c r="G453" s="45"/>
      <c r="H453" s="46"/>
      <c r="I453" s="46"/>
    </row>
    <row r="454" ht="15.75" customHeight="1" spans="7:9">
      <c r="G454" s="45"/>
      <c r="H454" s="46"/>
      <c r="I454" s="46"/>
    </row>
    <row r="455" ht="15.75" customHeight="1" spans="7:9">
      <c r="G455" s="45"/>
      <c r="H455" s="46"/>
      <c r="I455" s="46"/>
    </row>
    <row r="456" ht="15.75" customHeight="1" spans="7:9">
      <c r="G456" s="45"/>
      <c r="H456" s="46"/>
      <c r="I456" s="46"/>
    </row>
    <row r="457" ht="15.75" customHeight="1" spans="7:9">
      <c r="G457" s="45"/>
      <c r="H457" s="46"/>
      <c r="I457" s="46"/>
    </row>
    <row r="458" ht="15.75" customHeight="1" spans="7:9">
      <c r="G458" s="45"/>
      <c r="H458" s="46"/>
      <c r="I458" s="46"/>
    </row>
    <row r="459" ht="15.75" customHeight="1" spans="7:9">
      <c r="G459" s="45"/>
      <c r="H459" s="46"/>
      <c r="I459" s="46"/>
    </row>
    <row r="460" ht="15.75" customHeight="1" spans="7:9">
      <c r="G460" s="45"/>
      <c r="H460" s="46"/>
      <c r="I460" s="46"/>
    </row>
    <row r="461" ht="15.75" customHeight="1" spans="7:9">
      <c r="G461" s="45"/>
      <c r="H461" s="46"/>
      <c r="I461" s="46"/>
    </row>
    <row r="462" ht="15.75" customHeight="1" spans="7:9">
      <c r="G462" s="45"/>
      <c r="H462" s="46"/>
      <c r="I462" s="46"/>
    </row>
    <row r="463" ht="15.75" customHeight="1" spans="7:9">
      <c r="G463" s="45"/>
      <c r="H463" s="46"/>
      <c r="I463" s="46"/>
    </row>
    <row r="464" ht="15.75" customHeight="1" spans="7:9">
      <c r="G464" s="45"/>
      <c r="H464" s="46"/>
      <c r="I464" s="46"/>
    </row>
    <row r="465" ht="15.75" customHeight="1" spans="7:9">
      <c r="G465" s="45"/>
      <c r="H465" s="46"/>
      <c r="I465" s="46"/>
    </row>
    <row r="466" ht="15.75" customHeight="1" spans="7:9">
      <c r="G466" s="45"/>
      <c r="H466" s="46"/>
      <c r="I466" s="46"/>
    </row>
    <row r="467" ht="15.75" customHeight="1" spans="7:9">
      <c r="G467" s="45"/>
      <c r="H467" s="46"/>
      <c r="I467" s="46"/>
    </row>
    <row r="468" ht="15.75" customHeight="1" spans="7:9">
      <c r="G468" s="45"/>
      <c r="H468" s="46"/>
      <c r="I468" s="46"/>
    </row>
    <row r="469" ht="15.75" customHeight="1" spans="7:9">
      <c r="G469" s="45"/>
      <c r="H469" s="46"/>
      <c r="I469" s="46"/>
    </row>
    <row r="470" ht="15.75" customHeight="1" spans="7:9">
      <c r="G470" s="45"/>
      <c r="H470" s="46"/>
      <c r="I470" s="46"/>
    </row>
    <row r="471" ht="15.75" customHeight="1" spans="7:9">
      <c r="G471" s="45"/>
      <c r="H471" s="46"/>
      <c r="I471" s="46"/>
    </row>
    <row r="472" ht="15.75" customHeight="1" spans="7:9">
      <c r="G472" s="45"/>
      <c r="H472" s="46"/>
      <c r="I472" s="46"/>
    </row>
    <row r="473" ht="15.75" customHeight="1" spans="7:9">
      <c r="G473" s="45"/>
      <c r="H473" s="46"/>
      <c r="I473" s="46"/>
    </row>
    <row r="474" ht="15.75" customHeight="1" spans="7:9">
      <c r="G474" s="45"/>
      <c r="H474" s="46"/>
      <c r="I474" s="46"/>
    </row>
    <row r="475" ht="15.75" customHeight="1" spans="7:9">
      <c r="G475" s="45"/>
      <c r="H475" s="46"/>
      <c r="I475" s="46"/>
    </row>
    <row r="476" ht="15.75" customHeight="1" spans="7:9">
      <c r="G476" s="45"/>
      <c r="H476" s="46"/>
      <c r="I476" s="46"/>
    </row>
    <row r="477" ht="15.75" customHeight="1" spans="7:9">
      <c r="G477" s="45"/>
      <c r="H477" s="46"/>
      <c r="I477" s="46"/>
    </row>
    <row r="478" ht="15.75" customHeight="1" spans="7:9">
      <c r="G478" s="45"/>
      <c r="H478" s="46"/>
      <c r="I478" s="46"/>
    </row>
    <row r="479" ht="15.75" customHeight="1" spans="7:9">
      <c r="G479" s="45"/>
      <c r="H479" s="46"/>
      <c r="I479" s="46"/>
    </row>
    <row r="480" ht="15.75" customHeight="1" spans="7:9">
      <c r="G480" s="45"/>
      <c r="H480" s="46"/>
      <c r="I480" s="46"/>
    </row>
    <row r="481" ht="15.75" customHeight="1" spans="7:9">
      <c r="G481" s="45"/>
      <c r="H481" s="46"/>
      <c r="I481" s="46"/>
    </row>
    <row r="482" ht="15.75" customHeight="1" spans="7:9">
      <c r="G482" s="45"/>
      <c r="H482" s="46"/>
      <c r="I482" s="46"/>
    </row>
    <row r="483" ht="15.75" customHeight="1" spans="7:9">
      <c r="G483" s="45"/>
      <c r="H483" s="46"/>
      <c r="I483" s="46"/>
    </row>
    <row r="484" ht="15.75" customHeight="1" spans="7:9">
      <c r="G484" s="45"/>
      <c r="H484" s="46"/>
      <c r="I484" s="46"/>
    </row>
    <row r="485" ht="15.75" customHeight="1" spans="7:9">
      <c r="G485" s="45"/>
      <c r="H485" s="46"/>
      <c r="I485" s="46"/>
    </row>
    <row r="486" ht="15.75" customHeight="1" spans="7:9">
      <c r="G486" s="45"/>
      <c r="H486" s="46"/>
      <c r="I486" s="46"/>
    </row>
    <row r="487" ht="15.75" customHeight="1" spans="7:9">
      <c r="G487" s="45"/>
      <c r="H487" s="46"/>
      <c r="I487" s="46"/>
    </row>
    <row r="488" ht="15.75" customHeight="1" spans="7:9">
      <c r="G488" s="45"/>
      <c r="H488" s="46"/>
      <c r="I488" s="46"/>
    </row>
    <row r="489" ht="15.75" customHeight="1" spans="7:9">
      <c r="G489" s="45"/>
      <c r="H489" s="46"/>
      <c r="I489" s="46"/>
    </row>
    <row r="490" ht="15.75" customHeight="1" spans="7:9">
      <c r="G490" s="45"/>
      <c r="H490" s="46"/>
      <c r="I490" s="46"/>
    </row>
    <row r="491" ht="15.75" customHeight="1" spans="7:9">
      <c r="G491" s="45"/>
      <c r="H491" s="46"/>
      <c r="I491" s="46"/>
    </row>
    <row r="492" ht="15.75" customHeight="1" spans="7:9">
      <c r="G492" s="45"/>
      <c r="H492" s="46"/>
      <c r="I492" s="46"/>
    </row>
    <row r="493" ht="15.75" customHeight="1" spans="7:9">
      <c r="G493" s="45"/>
      <c r="H493" s="46"/>
      <c r="I493" s="46"/>
    </row>
    <row r="494" ht="15.75" customHeight="1" spans="7:9">
      <c r="G494" s="45"/>
      <c r="H494" s="46"/>
      <c r="I494" s="46"/>
    </row>
    <row r="495" ht="15.75" customHeight="1" spans="7:9">
      <c r="G495" s="45"/>
      <c r="H495" s="46"/>
      <c r="I495" s="46"/>
    </row>
    <row r="496" ht="15.75" customHeight="1" spans="7:9">
      <c r="G496" s="45"/>
      <c r="H496" s="46"/>
      <c r="I496" s="46"/>
    </row>
    <row r="497" ht="15.75" customHeight="1" spans="7:9">
      <c r="G497" s="45"/>
      <c r="H497" s="46"/>
      <c r="I497" s="46"/>
    </row>
    <row r="498" ht="15.75" customHeight="1" spans="7:9">
      <c r="G498" s="45"/>
      <c r="H498" s="46"/>
      <c r="I498" s="46"/>
    </row>
    <row r="499" ht="15.75" customHeight="1" spans="7:9">
      <c r="G499" s="45"/>
      <c r="H499" s="46"/>
      <c r="I499" s="46"/>
    </row>
    <row r="500" ht="15.75" customHeight="1" spans="7:9">
      <c r="G500" s="45"/>
      <c r="H500" s="46"/>
      <c r="I500" s="46"/>
    </row>
    <row r="501" ht="15.75" customHeight="1" spans="7:9">
      <c r="G501" s="45"/>
      <c r="H501" s="46"/>
      <c r="I501" s="46"/>
    </row>
    <row r="502" ht="15.75" customHeight="1" spans="7:9">
      <c r="G502" s="45"/>
      <c r="H502" s="46"/>
      <c r="I502" s="46"/>
    </row>
    <row r="503" ht="15.75" customHeight="1" spans="7:9">
      <c r="G503" s="45"/>
      <c r="H503" s="46"/>
      <c r="I503" s="46"/>
    </row>
    <row r="504" ht="15.75" customHeight="1" spans="7:9">
      <c r="G504" s="45"/>
      <c r="H504" s="46"/>
      <c r="I504" s="46"/>
    </row>
    <row r="505" ht="15.75" customHeight="1" spans="7:9">
      <c r="G505" s="45"/>
      <c r="H505" s="46"/>
      <c r="I505" s="46"/>
    </row>
    <row r="506" ht="15.75" customHeight="1" spans="7:9">
      <c r="G506" s="45"/>
      <c r="H506" s="46"/>
      <c r="I506" s="46"/>
    </row>
    <row r="507" ht="15.75" customHeight="1" spans="7:9">
      <c r="G507" s="45"/>
      <c r="H507" s="46"/>
      <c r="I507" s="46"/>
    </row>
    <row r="508" ht="15.75" customHeight="1" spans="7:9">
      <c r="G508" s="45"/>
      <c r="H508" s="46"/>
      <c r="I508" s="46"/>
    </row>
    <row r="509" ht="15.75" customHeight="1" spans="7:9">
      <c r="G509" s="45"/>
      <c r="H509" s="46"/>
      <c r="I509" s="46"/>
    </row>
    <row r="510" ht="15.75" customHeight="1" spans="7:9">
      <c r="G510" s="45"/>
      <c r="H510" s="46"/>
      <c r="I510" s="46"/>
    </row>
    <row r="511" ht="15.75" customHeight="1" spans="7:9">
      <c r="G511" s="45"/>
      <c r="H511" s="46"/>
      <c r="I511" s="46"/>
    </row>
    <row r="512" ht="15.75" customHeight="1" spans="7:9">
      <c r="G512" s="45"/>
      <c r="H512" s="46"/>
      <c r="I512" s="46"/>
    </row>
    <row r="513" ht="15.75" customHeight="1" spans="7:9">
      <c r="G513" s="45"/>
      <c r="H513" s="46"/>
      <c r="I513" s="46"/>
    </row>
    <row r="514" ht="15.75" customHeight="1" spans="7:9">
      <c r="G514" s="45"/>
      <c r="H514" s="46"/>
      <c r="I514" s="46"/>
    </row>
    <row r="515" ht="15.75" customHeight="1" spans="7:9">
      <c r="G515" s="45"/>
      <c r="H515" s="46"/>
      <c r="I515" s="46"/>
    </row>
    <row r="516" ht="15.75" customHeight="1" spans="7:9">
      <c r="G516" s="45"/>
      <c r="H516" s="46"/>
      <c r="I516" s="46"/>
    </row>
    <row r="517" ht="15.75" customHeight="1" spans="7:9">
      <c r="G517" s="45"/>
      <c r="H517" s="46"/>
      <c r="I517" s="46"/>
    </row>
    <row r="518" ht="15.75" customHeight="1" spans="7:9">
      <c r="G518" s="45"/>
      <c r="H518" s="46"/>
      <c r="I518" s="46"/>
    </row>
    <row r="519" ht="15.75" customHeight="1" spans="7:9">
      <c r="G519" s="45"/>
      <c r="H519" s="46"/>
      <c r="I519" s="46"/>
    </row>
    <row r="520" ht="15.75" customHeight="1" spans="7:9">
      <c r="G520" s="45"/>
      <c r="H520" s="46"/>
      <c r="I520" s="46"/>
    </row>
    <row r="521" ht="15.75" customHeight="1" spans="7:9">
      <c r="G521" s="45"/>
      <c r="H521" s="46"/>
      <c r="I521" s="46"/>
    </row>
    <row r="522" ht="15.75" customHeight="1" spans="7:9">
      <c r="G522" s="45"/>
      <c r="H522" s="46"/>
      <c r="I522" s="46"/>
    </row>
    <row r="523" ht="15.75" customHeight="1" spans="7:9">
      <c r="G523" s="45"/>
      <c r="H523" s="46"/>
      <c r="I523" s="46"/>
    </row>
    <row r="524" ht="15.75" customHeight="1" spans="7:9">
      <c r="G524" s="45"/>
      <c r="H524" s="46"/>
      <c r="I524" s="46"/>
    </row>
    <row r="525" ht="15.75" customHeight="1" spans="7:9">
      <c r="G525" s="45"/>
      <c r="H525" s="46"/>
      <c r="I525" s="46"/>
    </row>
    <row r="526" ht="15.75" customHeight="1" spans="7:9">
      <c r="G526" s="45"/>
      <c r="H526" s="46"/>
      <c r="I526" s="46"/>
    </row>
    <row r="527" ht="15.75" customHeight="1" spans="7:9">
      <c r="G527" s="45"/>
      <c r="H527" s="46"/>
      <c r="I527" s="46"/>
    </row>
    <row r="528" ht="15.75" customHeight="1" spans="7:9">
      <c r="G528" s="45"/>
      <c r="H528" s="46"/>
      <c r="I528" s="46"/>
    </row>
    <row r="529" ht="15.75" customHeight="1" spans="7:9">
      <c r="G529" s="45"/>
      <c r="H529" s="46"/>
      <c r="I529" s="46"/>
    </row>
    <row r="530" ht="15.75" customHeight="1" spans="7:9">
      <c r="G530" s="45"/>
      <c r="H530" s="46"/>
      <c r="I530" s="46"/>
    </row>
    <row r="531" ht="15.75" customHeight="1" spans="7:9">
      <c r="G531" s="45"/>
      <c r="H531" s="46"/>
      <c r="I531" s="46"/>
    </row>
    <row r="532" ht="15.75" customHeight="1" spans="7:9">
      <c r="G532" s="45"/>
      <c r="H532" s="46"/>
      <c r="I532" s="46"/>
    </row>
    <row r="533" ht="15.75" customHeight="1" spans="7:9">
      <c r="G533" s="45"/>
      <c r="H533" s="46"/>
      <c r="I533" s="46"/>
    </row>
    <row r="534" ht="15.75" customHeight="1" spans="7:9">
      <c r="G534" s="45"/>
      <c r="H534" s="46"/>
      <c r="I534" s="46"/>
    </row>
    <row r="535" ht="15.75" customHeight="1" spans="7:9">
      <c r="G535" s="45"/>
      <c r="H535" s="46"/>
      <c r="I535" s="46"/>
    </row>
    <row r="536" ht="15.75" customHeight="1" spans="7:9">
      <c r="G536" s="45"/>
      <c r="H536" s="46"/>
      <c r="I536" s="46"/>
    </row>
    <row r="537" ht="15.75" customHeight="1" spans="7:9">
      <c r="G537" s="45"/>
      <c r="H537" s="46"/>
      <c r="I537" s="46"/>
    </row>
    <row r="538" ht="15.75" customHeight="1" spans="7:9">
      <c r="G538" s="45"/>
      <c r="H538" s="46"/>
      <c r="I538" s="46"/>
    </row>
    <row r="539" ht="15.75" customHeight="1" spans="7:9">
      <c r="G539" s="45"/>
      <c r="H539" s="46"/>
      <c r="I539" s="46"/>
    </row>
    <row r="540" ht="15.75" customHeight="1" spans="7:9">
      <c r="G540" s="45"/>
      <c r="H540" s="46"/>
      <c r="I540" s="46"/>
    </row>
    <row r="541" ht="15.75" customHeight="1" spans="7:9">
      <c r="G541" s="45"/>
      <c r="H541" s="46"/>
      <c r="I541" s="46"/>
    </row>
    <row r="542" ht="15.75" customHeight="1" spans="7:9">
      <c r="G542" s="45"/>
      <c r="H542" s="46"/>
      <c r="I542" s="46"/>
    </row>
    <row r="543" ht="15.75" customHeight="1" spans="7:9">
      <c r="G543" s="45"/>
      <c r="H543" s="46"/>
      <c r="I543" s="46"/>
    </row>
    <row r="544" ht="15.75" customHeight="1" spans="7:9">
      <c r="G544" s="45"/>
      <c r="H544" s="46"/>
      <c r="I544" s="46"/>
    </row>
    <row r="545" ht="15.75" customHeight="1" spans="7:9">
      <c r="G545" s="45"/>
      <c r="H545" s="46"/>
      <c r="I545" s="46"/>
    </row>
    <row r="546" ht="15.75" customHeight="1" spans="7:9">
      <c r="G546" s="45"/>
      <c r="H546" s="46"/>
      <c r="I546" s="46"/>
    </row>
    <row r="547" ht="15.75" customHeight="1" spans="7:9">
      <c r="G547" s="45"/>
      <c r="H547" s="46"/>
      <c r="I547" s="46"/>
    </row>
    <row r="548" ht="15.75" customHeight="1" spans="7:9">
      <c r="G548" s="45"/>
      <c r="H548" s="46"/>
      <c r="I548" s="46"/>
    </row>
    <row r="549" ht="15.75" customHeight="1" spans="7:9">
      <c r="G549" s="45"/>
      <c r="H549" s="46"/>
      <c r="I549" s="46"/>
    </row>
    <row r="550" ht="15.75" customHeight="1" spans="7:9">
      <c r="G550" s="45"/>
      <c r="H550" s="46"/>
      <c r="I550" s="46"/>
    </row>
    <row r="551" ht="15.75" customHeight="1" spans="7:9">
      <c r="G551" s="45"/>
      <c r="H551" s="46"/>
      <c r="I551" s="46"/>
    </row>
    <row r="552" ht="15.75" customHeight="1" spans="7:9">
      <c r="G552" s="45"/>
      <c r="H552" s="46"/>
      <c r="I552" s="46"/>
    </row>
    <row r="553" ht="15.75" customHeight="1" spans="7:9">
      <c r="G553" s="45"/>
      <c r="H553" s="46"/>
      <c r="I553" s="46"/>
    </row>
    <row r="554" ht="15.75" customHeight="1" spans="7:9">
      <c r="G554" s="45"/>
      <c r="H554" s="46"/>
      <c r="I554" s="46"/>
    </row>
    <row r="555" ht="15.75" customHeight="1" spans="7:9">
      <c r="G555" s="45"/>
      <c r="H555" s="46"/>
      <c r="I555" s="46"/>
    </row>
    <row r="556" ht="15.75" customHeight="1" spans="7:9">
      <c r="G556" s="45"/>
      <c r="H556" s="46"/>
      <c r="I556" s="46"/>
    </row>
    <row r="557" ht="15.75" customHeight="1" spans="7:9">
      <c r="G557" s="45"/>
      <c r="H557" s="46"/>
      <c r="I557" s="46"/>
    </row>
    <row r="558" ht="15.75" customHeight="1" spans="7:9">
      <c r="G558" s="45"/>
      <c r="H558" s="46"/>
      <c r="I558" s="46"/>
    </row>
    <row r="559" ht="15.75" customHeight="1" spans="7:9">
      <c r="G559" s="45"/>
      <c r="H559" s="46"/>
      <c r="I559" s="46"/>
    </row>
    <row r="560" ht="15.75" customHeight="1" spans="7:9">
      <c r="G560" s="45"/>
      <c r="H560" s="46"/>
      <c r="I560" s="46"/>
    </row>
    <row r="561" ht="15.75" customHeight="1" spans="7:9">
      <c r="G561" s="45"/>
      <c r="H561" s="46"/>
      <c r="I561" s="46"/>
    </row>
    <row r="562" ht="15.75" customHeight="1" spans="7:9">
      <c r="G562" s="45"/>
      <c r="H562" s="46"/>
      <c r="I562" s="46"/>
    </row>
    <row r="563" ht="15.75" customHeight="1" spans="7:9">
      <c r="G563" s="45"/>
      <c r="H563" s="46"/>
      <c r="I563" s="46"/>
    </row>
    <row r="564" ht="15.75" customHeight="1" spans="7:9">
      <c r="G564" s="45"/>
      <c r="H564" s="46"/>
      <c r="I564" s="46"/>
    </row>
    <row r="565" ht="15.75" customHeight="1" spans="7:9">
      <c r="G565" s="45"/>
      <c r="H565" s="46"/>
      <c r="I565" s="46"/>
    </row>
    <row r="566" ht="15.75" customHeight="1" spans="7:9">
      <c r="G566" s="45"/>
      <c r="H566" s="46"/>
      <c r="I566" s="46"/>
    </row>
    <row r="567" ht="15.75" customHeight="1" spans="7:9">
      <c r="G567" s="45"/>
      <c r="H567" s="46"/>
      <c r="I567" s="46"/>
    </row>
    <row r="568" ht="15.75" customHeight="1" spans="7:9">
      <c r="G568" s="45"/>
      <c r="H568" s="46"/>
      <c r="I568" s="46"/>
    </row>
    <row r="569" ht="15.75" customHeight="1" spans="7:9">
      <c r="G569" s="45"/>
      <c r="H569" s="46"/>
      <c r="I569" s="46"/>
    </row>
    <row r="570" ht="15.75" customHeight="1" spans="7:9">
      <c r="G570" s="45"/>
      <c r="H570" s="46"/>
      <c r="I570" s="46"/>
    </row>
    <row r="571" ht="15.75" customHeight="1" spans="7:9">
      <c r="G571" s="45"/>
      <c r="H571" s="46"/>
      <c r="I571" s="46"/>
    </row>
    <row r="572" ht="15.75" customHeight="1" spans="7:9">
      <c r="G572" s="45"/>
      <c r="H572" s="46"/>
      <c r="I572" s="46"/>
    </row>
    <row r="573" ht="15.75" customHeight="1" spans="7:9">
      <c r="G573" s="45"/>
      <c r="H573" s="46"/>
      <c r="I573" s="46"/>
    </row>
    <row r="574" ht="15.75" customHeight="1" spans="7:9">
      <c r="G574" s="45"/>
      <c r="H574" s="46"/>
      <c r="I574" s="46"/>
    </row>
    <row r="575" ht="15.75" customHeight="1" spans="7:9">
      <c r="G575" s="45"/>
      <c r="H575" s="46"/>
      <c r="I575" s="46"/>
    </row>
    <row r="576" ht="15.75" customHeight="1" spans="7:9">
      <c r="G576" s="45"/>
      <c r="H576" s="46"/>
      <c r="I576" s="46"/>
    </row>
    <row r="577" ht="15.75" customHeight="1" spans="7:9">
      <c r="G577" s="45"/>
      <c r="H577" s="46"/>
      <c r="I577" s="46"/>
    </row>
    <row r="578" ht="15.75" customHeight="1" spans="7:9">
      <c r="G578" s="45"/>
      <c r="H578" s="46"/>
      <c r="I578" s="46"/>
    </row>
    <row r="579" ht="15.75" customHeight="1" spans="7:9">
      <c r="G579" s="45"/>
      <c r="H579" s="46"/>
      <c r="I579" s="46"/>
    </row>
    <row r="580" ht="15.75" customHeight="1" spans="7:9">
      <c r="G580" s="45"/>
      <c r="H580" s="46"/>
      <c r="I580" s="46"/>
    </row>
    <row r="581" ht="15.75" customHeight="1" spans="7:9">
      <c r="G581" s="45"/>
      <c r="H581" s="46"/>
      <c r="I581" s="46"/>
    </row>
    <row r="582" ht="15.75" customHeight="1" spans="7:9">
      <c r="G582" s="45"/>
      <c r="H582" s="46"/>
      <c r="I582" s="46"/>
    </row>
    <row r="583" ht="15.75" customHeight="1" spans="7:9">
      <c r="G583" s="45"/>
      <c r="H583" s="46"/>
      <c r="I583" s="46"/>
    </row>
    <row r="584" ht="15.75" customHeight="1" spans="7:9">
      <c r="G584" s="45"/>
      <c r="H584" s="46"/>
      <c r="I584" s="46"/>
    </row>
    <row r="585" ht="15.75" customHeight="1" spans="7:9">
      <c r="G585" s="45"/>
      <c r="H585" s="46"/>
      <c r="I585" s="46"/>
    </row>
    <row r="586" ht="15.75" customHeight="1" spans="7:9">
      <c r="G586" s="45"/>
      <c r="H586" s="46"/>
      <c r="I586" s="46"/>
    </row>
    <row r="587" ht="15.75" customHeight="1" spans="7:9">
      <c r="G587" s="45"/>
      <c r="H587" s="46"/>
      <c r="I587" s="46"/>
    </row>
    <row r="588" ht="15.75" customHeight="1" spans="7:9">
      <c r="G588" s="45"/>
      <c r="H588" s="46"/>
      <c r="I588" s="46"/>
    </row>
    <row r="589" ht="15.75" customHeight="1" spans="7:9">
      <c r="G589" s="45"/>
      <c r="H589" s="46"/>
      <c r="I589" s="46"/>
    </row>
    <row r="590" ht="15.75" customHeight="1" spans="7:9">
      <c r="G590" s="45"/>
      <c r="H590" s="46"/>
      <c r="I590" s="46"/>
    </row>
    <row r="591" ht="15.75" customHeight="1" spans="7:9">
      <c r="G591" s="45"/>
      <c r="H591" s="46"/>
      <c r="I591" s="46"/>
    </row>
    <row r="592" ht="15.75" customHeight="1" spans="7:9">
      <c r="G592" s="45"/>
      <c r="H592" s="46"/>
      <c r="I592" s="46"/>
    </row>
    <row r="593" ht="15.75" customHeight="1" spans="7:9">
      <c r="G593" s="45"/>
      <c r="H593" s="46"/>
      <c r="I593" s="46"/>
    </row>
    <row r="594" ht="15.75" customHeight="1" spans="7:9">
      <c r="G594" s="45"/>
      <c r="H594" s="46"/>
      <c r="I594" s="46"/>
    </row>
    <row r="595" ht="15.75" customHeight="1" spans="7:9">
      <c r="G595" s="45"/>
      <c r="H595" s="46"/>
      <c r="I595" s="46"/>
    </row>
    <row r="596" ht="15.75" customHeight="1" spans="7:9">
      <c r="G596" s="45"/>
      <c r="H596" s="46"/>
      <c r="I596" s="46"/>
    </row>
    <row r="597" ht="15.75" customHeight="1" spans="7:9">
      <c r="G597" s="45"/>
      <c r="H597" s="46"/>
      <c r="I597" s="46"/>
    </row>
    <row r="598" ht="15.75" customHeight="1" spans="7:9">
      <c r="G598" s="45"/>
      <c r="H598" s="46"/>
      <c r="I598" s="46"/>
    </row>
    <row r="599" ht="15.75" customHeight="1" spans="7:9">
      <c r="G599" s="45"/>
      <c r="H599" s="46"/>
      <c r="I599" s="46"/>
    </row>
    <row r="600" ht="15.75" customHeight="1" spans="7:9">
      <c r="G600" s="45"/>
      <c r="H600" s="46"/>
      <c r="I600" s="46"/>
    </row>
    <row r="601" ht="15.75" customHeight="1" spans="7:9">
      <c r="G601" s="45"/>
      <c r="H601" s="46"/>
      <c r="I601" s="46"/>
    </row>
    <row r="602" ht="15.75" customHeight="1" spans="7:9">
      <c r="G602" s="45"/>
      <c r="H602" s="46"/>
      <c r="I602" s="46"/>
    </row>
    <row r="603" ht="15.75" customHeight="1" spans="7:9">
      <c r="G603" s="45"/>
      <c r="H603" s="46"/>
      <c r="I603" s="46"/>
    </row>
    <row r="604" ht="15.75" customHeight="1" spans="7:9">
      <c r="G604" s="45"/>
      <c r="H604" s="46"/>
      <c r="I604" s="46"/>
    </row>
    <row r="605" ht="15.75" customHeight="1" spans="7:9">
      <c r="G605" s="45"/>
      <c r="H605" s="46"/>
      <c r="I605" s="46"/>
    </row>
    <row r="606" ht="15.75" customHeight="1" spans="7:9">
      <c r="G606" s="45"/>
      <c r="H606" s="46"/>
      <c r="I606" s="46"/>
    </row>
    <row r="607" ht="15.75" customHeight="1" spans="7:9">
      <c r="G607" s="45"/>
      <c r="H607" s="46"/>
      <c r="I607" s="46"/>
    </row>
    <row r="608" ht="15.75" customHeight="1" spans="7:9">
      <c r="G608" s="45"/>
      <c r="H608" s="46"/>
      <c r="I608" s="46"/>
    </row>
    <row r="609" ht="15.75" customHeight="1" spans="7:9">
      <c r="G609" s="45"/>
      <c r="H609" s="46"/>
      <c r="I609" s="46"/>
    </row>
    <row r="610" ht="15.75" customHeight="1" spans="7:9">
      <c r="G610" s="45"/>
      <c r="H610" s="46"/>
      <c r="I610" s="46"/>
    </row>
    <row r="611" ht="15.75" customHeight="1" spans="7:9">
      <c r="G611" s="45"/>
      <c r="H611" s="46"/>
      <c r="I611" s="46"/>
    </row>
    <row r="612" ht="15.75" customHeight="1" spans="7:9">
      <c r="G612" s="45"/>
      <c r="H612" s="46"/>
      <c r="I612" s="46"/>
    </row>
    <row r="613" ht="15.75" customHeight="1" spans="7:9">
      <c r="G613" s="45"/>
      <c r="H613" s="46"/>
      <c r="I613" s="46"/>
    </row>
    <row r="614" ht="15.75" customHeight="1" spans="7:9">
      <c r="G614" s="45"/>
      <c r="H614" s="46"/>
      <c r="I614" s="46"/>
    </row>
    <row r="615" ht="15.75" customHeight="1" spans="7:9">
      <c r="G615" s="45"/>
      <c r="H615" s="46"/>
      <c r="I615" s="46"/>
    </row>
    <row r="616" ht="15.75" customHeight="1" spans="7:9">
      <c r="G616" s="45"/>
      <c r="H616" s="46"/>
      <c r="I616" s="46"/>
    </row>
    <row r="617" ht="15.75" customHeight="1" spans="7:9">
      <c r="G617" s="45"/>
      <c r="H617" s="46"/>
      <c r="I617" s="46"/>
    </row>
    <row r="618" ht="15.75" customHeight="1" spans="7:9">
      <c r="G618" s="45"/>
      <c r="H618" s="46"/>
      <c r="I618" s="46"/>
    </row>
    <row r="619" ht="15.75" customHeight="1" spans="7:9">
      <c r="G619" s="45"/>
      <c r="H619" s="46"/>
      <c r="I619" s="46"/>
    </row>
    <row r="620" ht="15.75" customHeight="1" spans="7:9">
      <c r="G620" s="45"/>
      <c r="H620" s="46"/>
      <c r="I620" s="46"/>
    </row>
    <row r="621" ht="15.75" customHeight="1" spans="7:9">
      <c r="G621" s="45"/>
      <c r="H621" s="46"/>
      <c r="I621" s="46"/>
    </row>
    <row r="622" ht="15.75" customHeight="1" spans="7:9">
      <c r="G622" s="45"/>
      <c r="H622" s="46"/>
      <c r="I622" s="46"/>
    </row>
    <row r="623" ht="15.75" customHeight="1" spans="7:9">
      <c r="G623" s="45"/>
      <c r="H623" s="46"/>
      <c r="I623" s="46"/>
    </row>
    <row r="624" ht="15.75" customHeight="1" spans="7:9">
      <c r="G624" s="45"/>
      <c r="H624" s="46"/>
      <c r="I624" s="46"/>
    </row>
    <row r="625" ht="15.75" customHeight="1" spans="7:9">
      <c r="G625" s="45"/>
      <c r="H625" s="46"/>
      <c r="I625" s="46"/>
    </row>
    <row r="626" ht="15.75" customHeight="1" spans="7:9">
      <c r="G626" s="45"/>
      <c r="H626" s="46"/>
      <c r="I626" s="46"/>
    </row>
    <row r="627" ht="15.75" customHeight="1" spans="7:9">
      <c r="G627" s="45"/>
      <c r="H627" s="46"/>
      <c r="I627" s="46"/>
    </row>
    <row r="628" ht="15.75" customHeight="1" spans="7:9">
      <c r="G628" s="45"/>
      <c r="H628" s="46"/>
      <c r="I628" s="46"/>
    </row>
    <row r="629" ht="15.75" customHeight="1" spans="7:9">
      <c r="G629" s="45"/>
      <c r="H629" s="46"/>
      <c r="I629" s="46"/>
    </row>
    <row r="630" ht="15.75" customHeight="1" spans="7:9">
      <c r="G630" s="45"/>
      <c r="H630" s="46"/>
      <c r="I630" s="46"/>
    </row>
    <row r="631" ht="15.75" customHeight="1" spans="7:9">
      <c r="G631" s="45"/>
      <c r="H631" s="46"/>
      <c r="I631" s="46"/>
    </row>
    <row r="632" ht="15.75" customHeight="1" spans="7:9">
      <c r="G632" s="45"/>
      <c r="H632" s="46"/>
      <c r="I632" s="46"/>
    </row>
    <row r="633" ht="15.75" customHeight="1" spans="7:9">
      <c r="G633" s="45"/>
      <c r="H633" s="46"/>
      <c r="I633" s="46"/>
    </row>
    <row r="634" ht="15.75" customHeight="1" spans="7:9">
      <c r="G634" s="45"/>
      <c r="H634" s="46"/>
      <c r="I634" s="46"/>
    </row>
    <row r="635" ht="15.75" customHeight="1" spans="7:9">
      <c r="G635" s="45"/>
      <c r="H635" s="46"/>
      <c r="I635" s="46"/>
    </row>
    <row r="636" ht="15.75" customHeight="1" spans="7:9">
      <c r="G636" s="45"/>
      <c r="H636" s="46"/>
      <c r="I636" s="46"/>
    </row>
    <row r="637" ht="15.75" customHeight="1" spans="7:9">
      <c r="G637" s="45"/>
      <c r="H637" s="46"/>
      <c r="I637" s="46"/>
    </row>
    <row r="638" ht="15.75" customHeight="1" spans="7:9">
      <c r="G638" s="45"/>
      <c r="H638" s="46"/>
      <c r="I638" s="46"/>
    </row>
    <row r="639" ht="15.75" customHeight="1" spans="7:9">
      <c r="G639" s="45"/>
      <c r="H639" s="46"/>
      <c r="I639" s="46"/>
    </row>
    <row r="640" ht="15.75" customHeight="1" spans="7:9">
      <c r="G640" s="45"/>
      <c r="H640" s="46"/>
      <c r="I640" s="46"/>
    </row>
    <row r="641" ht="15.75" customHeight="1" spans="7:9">
      <c r="G641" s="45"/>
      <c r="H641" s="46"/>
      <c r="I641" s="46"/>
    </row>
    <row r="642" ht="15.75" customHeight="1" spans="7:9">
      <c r="G642" s="45"/>
      <c r="H642" s="46"/>
      <c r="I642" s="46"/>
    </row>
    <row r="643" ht="15.75" customHeight="1" spans="7:9">
      <c r="G643" s="45"/>
      <c r="H643" s="46"/>
      <c r="I643" s="46"/>
    </row>
    <row r="644" ht="15.75" customHeight="1" spans="7:9">
      <c r="G644" s="45"/>
      <c r="H644" s="46"/>
      <c r="I644" s="46"/>
    </row>
    <row r="645" ht="15.75" customHeight="1" spans="7:9">
      <c r="G645" s="45"/>
      <c r="H645" s="46"/>
      <c r="I645" s="46"/>
    </row>
    <row r="646" ht="15.75" customHeight="1" spans="7:9">
      <c r="G646" s="45"/>
      <c r="H646" s="46"/>
      <c r="I646" s="46"/>
    </row>
    <row r="647" ht="15.75" customHeight="1" spans="7:9">
      <c r="G647" s="45"/>
      <c r="H647" s="46"/>
      <c r="I647" s="46"/>
    </row>
    <row r="648" ht="15.75" customHeight="1" spans="7:9">
      <c r="G648" s="45"/>
      <c r="H648" s="46"/>
      <c r="I648" s="46"/>
    </row>
    <row r="649" ht="15.75" customHeight="1" spans="7:9">
      <c r="G649" s="45"/>
      <c r="H649" s="46"/>
      <c r="I649" s="46"/>
    </row>
    <row r="650" ht="15.75" customHeight="1" spans="7:9">
      <c r="G650" s="45"/>
      <c r="H650" s="46"/>
      <c r="I650" s="46"/>
    </row>
    <row r="651" ht="15.75" customHeight="1" spans="7:9">
      <c r="G651" s="45"/>
      <c r="H651" s="46"/>
      <c r="I651" s="46"/>
    </row>
    <row r="652" ht="15.75" customHeight="1" spans="7:9">
      <c r="G652" s="45"/>
      <c r="H652" s="46"/>
      <c r="I652" s="46"/>
    </row>
    <row r="653" ht="15.75" customHeight="1" spans="7:9">
      <c r="G653" s="45"/>
      <c r="H653" s="46"/>
      <c r="I653" s="46"/>
    </row>
    <row r="654" ht="15.75" customHeight="1" spans="7:9">
      <c r="G654" s="45"/>
      <c r="H654" s="46"/>
      <c r="I654" s="46"/>
    </row>
    <row r="655" ht="15.75" customHeight="1" spans="7:9">
      <c r="G655" s="45"/>
      <c r="H655" s="46"/>
      <c r="I655" s="46"/>
    </row>
    <row r="656" ht="15.75" customHeight="1" spans="7:9">
      <c r="G656" s="45"/>
      <c r="H656" s="46"/>
      <c r="I656" s="46"/>
    </row>
    <row r="657" ht="15.75" customHeight="1" spans="7:9">
      <c r="G657" s="45"/>
      <c r="H657" s="46"/>
      <c r="I657" s="46"/>
    </row>
    <row r="658" ht="15.75" customHeight="1" spans="7:9">
      <c r="G658" s="45"/>
      <c r="H658" s="46"/>
      <c r="I658" s="46"/>
    </row>
    <row r="659" ht="15.75" customHeight="1" spans="7:9">
      <c r="G659" s="45"/>
      <c r="H659" s="46"/>
      <c r="I659" s="46"/>
    </row>
    <row r="660" ht="15.75" customHeight="1" spans="7:9">
      <c r="G660" s="45"/>
      <c r="H660" s="46"/>
      <c r="I660" s="46"/>
    </row>
    <row r="661" ht="15.75" customHeight="1" spans="7:9">
      <c r="G661" s="45"/>
      <c r="H661" s="46"/>
      <c r="I661" s="46"/>
    </row>
    <row r="662" ht="15.75" customHeight="1" spans="7:9">
      <c r="G662" s="45"/>
      <c r="H662" s="46"/>
      <c r="I662" s="46"/>
    </row>
    <row r="663" ht="15.75" customHeight="1" spans="7:9">
      <c r="G663" s="45"/>
      <c r="H663" s="46"/>
      <c r="I663" s="46"/>
    </row>
    <row r="664" ht="15.75" customHeight="1" spans="7:9">
      <c r="G664" s="45"/>
      <c r="H664" s="46"/>
      <c r="I664" s="46"/>
    </row>
    <row r="665" ht="15.75" customHeight="1" spans="7:9">
      <c r="G665" s="45"/>
      <c r="H665" s="46"/>
      <c r="I665" s="46"/>
    </row>
    <row r="666" ht="15.75" customHeight="1" spans="7:9">
      <c r="G666" s="45"/>
      <c r="H666" s="46"/>
      <c r="I666" s="46"/>
    </row>
    <row r="667" ht="15.75" customHeight="1" spans="7:9">
      <c r="G667" s="45"/>
      <c r="H667" s="46"/>
      <c r="I667" s="46"/>
    </row>
    <row r="668" ht="15.75" customHeight="1" spans="7:9">
      <c r="G668" s="45"/>
      <c r="H668" s="46"/>
      <c r="I668" s="46"/>
    </row>
    <row r="669" ht="15.75" customHeight="1" spans="7:9">
      <c r="G669" s="45"/>
      <c r="H669" s="46"/>
      <c r="I669" s="46"/>
    </row>
    <row r="670" ht="15.75" customHeight="1" spans="7:9">
      <c r="G670" s="45"/>
      <c r="H670" s="46"/>
      <c r="I670" s="46"/>
    </row>
    <row r="671" ht="15.75" customHeight="1" spans="7:9">
      <c r="G671" s="45"/>
      <c r="H671" s="46"/>
      <c r="I671" s="46"/>
    </row>
    <row r="672" ht="15.75" customHeight="1" spans="7:9">
      <c r="G672" s="45"/>
      <c r="H672" s="46"/>
      <c r="I672" s="46"/>
    </row>
    <row r="673" ht="15.75" customHeight="1" spans="7:9">
      <c r="G673" s="45"/>
      <c r="H673" s="46"/>
      <c r="I673" s="46"/>
    </row>
    <row r="674" ht="15.75" customHeight="1" spans="7:9">
      <c r="G674" s="45"/>
      <c r="H674" s="46"/>
      <c r="I674" s="46"/>
    </row>
    <row r="675" ht="15.75" customHeight="1" spans="7:9">
      <c r="G675" s="45"/>
      <c r="H675" s="46"/>
      <c r="I675" s="46"/>
    </row>
    <row r="676" ht="15.75" customHeight="1" spans="7:9">
      <c r="G676" s="45"/>
      <c r="H676" s="46"/>
      <c r="I676" s="46"/>
    </row>
    <row r="677" ht="15.75" customHeight="1" spans="7:9">
      <c r="G677" s="45"/>
      <c r="H677" s="46"/>
      <c r="I677" s="46"/>
    </row>
    <row r="678" ht="15.75" customHeight="1" spans="7:9">
      <c r="G678" s="45"/>
      <c r="H678" s="46"/>
      <c r="I678" s="46"/>
    </row>
    <row r="679" ht="15.75" customHeight="1" spans="7:9">
      <c r="G679" s="45"/>
      <c r="H679" s="46"/>
      <c r="I679" s="46"/>
    </row>
    <row r="680" ht="15.75" customHeight="1" spans="7:9">
      <c r="G680" s="45"/>
      <c r="H680" s="46"/>
      <c r="I680" s="46"/>
    </row>
    <row r="681" ht="15.75" customHeight="1" spans="7:9">
      <c r="G681" s="45"/>
      <c r="H681" s="46"/>
      <c r="I681" s="46"/>
    </row>
    <row r="682" ht="15.75" customHeight="1" spans="7:9">
      <c r="G682" s="45"/>
      <c r="H682" s="46"/>
      <c r="I682" s="46"/>
    </row>
    <row r="683" ht="15.75" customHeight="1" spans="7:9">
      <c r="G683" s="45"/>
      <c r="H683" s="46"/>
      <c r="I683" s="46"/>
    </row>
    <row r="684" ht="15.75" customHeight="1" spans="7:9">
      <c r="G684" s="45"/>
      <c r="H684" s="46"/>
      <c r="I684" s="46"/>
    </row>
    <row r="685" ht="15.75" customHeight="1" spans="7:9">
      <c r="G685" s="45"/>
      <c r="H685" s="46"/>
      <c r="I685" s="46"/>
    </row>
    <row r="686" ht="15.75" customHeight="1" spans="7:9">
      <c r="G686" s="45"/>
      <c r="H686" s="46"/>
      <c r="I686" s="46"/>
    </row>
    <row r="687" ht="15.75" customHeight="1" spans="7:9">
      <c r="G687" s="45"/>
      <c r="H687" s="46"/>
      <c r="I687" s="46"/>
    </row>
    <row r="688" ht="15.75" customHeight="1" spans="7:9">
      <c r="G688" s="45"/>
      <c r="H688" s="46"/>
      <c r="I688" s="46"/>
    </row>
    <row r="689" ht="15.75" customHeight="1" spans="7:9">
      <c r="G689" s="45"/>
      <c r="H689" s="46"/>
      <c r="I689" s="46"/>
    </row>
    <row r="690" ht="15.75" customHeight="1" spans="7:9">
      <c r="G690" s="45"/>
      <c r="H690" s="46"/>
      <c r="I690" s="46"/>
    </row>
    <row r="691" ht="15.75" customHeight="1" spans="7:9">
      <c r="G691" s="45"/>
      <c r="H691" s="46"/>
      <c r="I691" s="46"/>
    </row>
    <row r="692" ht="15.75" customHeight="1" spans="7:9">
      <c r="G692" s="45"/>
      <c r="H692" s="46"/>
      <c r="I692" s="46"/>
    </row>
    <row r="693" ht="15.75" customHeight="1" spans="7:9">
      <c r="G693" s="45"/>
      <c r="H693" s="46"/>
      <c r="I693" s="46"/>
    </row>
    <row r="694" ht="15.75" customHeight="1" spans="7:9">
      <c r="G694" s="45"/>
      <c r="H694" s="46"/>
      <c r="I694" s="46"/>
    </row>
    <row r="695" ht="15.75" customHeight="1" spans="7:9">
      <c r="G695" s="45"/>
      <c r="H695" s="46"/>
      <c r="I695" s="46"/>
    </row>
    <row r="696" ht="15.75" customHeight="1" spans="7:9">
      <c r="G696" s="45"/>
      <c r="H696" s="46"/>
      <c r="I696" s="46"/>
    </row>
    <row r="697" ht="15.75" customHeight="1" spans="7:9">
      <c r="G697" s="45"/>
      <c r="H697" s="46"/>
      <c r="I697" s="46"/>
    </row>
    <row r="698" ht="15.75" customHeight="1" spans="7:9">
      <c r="G698" s="45"/>
      <c r="H698" s="46"/>
      <c r="I698" s="46"/>
    </row>
    <row r="699" ht="15.75" customHeight="1" spans="7:9">
      <c r="G699" s="45"/>
      <c r="H699" s="46"/>
      <c r="I699" s="46"/>
    </row>
    <row r="700" ht="15.75" customHeight="1" spans="7:9">
      <c r="G700" s="45"/>
      <c r="H700" s="46"/>
      <c r="I700" s="46"/>
    </row>
    <row r="701" ht="15.75" customHeight="1" spans="7:9">
      <c r="G701" s="45"/>
      <c r="H701" s="46"/>
      <c r="I701" s="46"/>
    </row>
    <row r="702" ht="15.75" customHeight="1" spans="7:9">
      <c r="G702" s="45"/>
      <c r="H702" s="46"/>
      <c r="I702" s="46"/>
    </row>
    <row r="703" ht="15.75" customHeight="1" spans="7:9">
      <c r="G703" s="45"/>
      <c r="H703" s="46"/>
      <c r="I703" s="46"/>
    </row>
    <row r="704" ht="15.75" customHeight="1" spans="7:9">
      <c r="G704" s="45"/>
      <c r="H704" s="46"/>
      <c r="I704" s="46"/>
    </row>
    <row r="705" ht="15.75" customHeight="1" spans="7:9">
      <c r="G705" s="45"/>
      <c r="H705" s="46"/>
      <c r="I705" s="46"/>
    </row>
    <row r="706" ht="15.75" customHeight="1" spans="7:9">
      <c r="G706" s="45"/>
      <c r="H706" s="46"/>
      <c r="I706" s="46"/>
    </row>
    <row r="707" ht="15.75" customHeight="1" spans="7:9">
      <c r="G707" s="45"/>
      <c r="H707" s="46"/>
      <c r="I707" s="46"/>
    </row>
    <row r="708" ht="15.75" customHeight="1" spans="7:9">
      <c r="G708" s="45"/>
      <c r="H708" s="46"/>
      <c r="I708" s="46"/>
    </row>
    <row r="709" ht="15.75" customHeight="1" spans="7:9">
      <c r="G709" s="45"/>
      <c r="H709" s="46"/>
      <c r="I709" s="46"/>
    </row>
    <row r="710" ht="15.75" customHeight="1" spans="7:9">
      <c r="G710" s="45"/>
      <c r="H710" s="46"/>
      <c r="I710" s="46"/>
    </row>
    <row r="711" ht="15.75" customHeight="1" spans="7:9">
      <c r="G711" s="45"/>
      <c r="H711" s="46"/>
      <c r="I711" s="46"/>
    </row>
    <row r="712" ht="15.75" customHeight="1" spans="7:9">
      <c r="G712" s="45"/>
      <c r="H712" s="46"/>
      <c r="I712" s="46"/>
    </row>
    <row r="713" ht="15.75" customHeight="1" spans="7:9">
      <c r="G713" s="45"/>
      <c r="H713" s="46"/>
      <c r="I713" s="46"/>
    </row>
    <row r="714" ht="15.75" customHeight="1" spans="7:9">
      <c r="G714" s="45"/>
      <c r="H714" s="46"/>
      <c r="I714" s="46"/>
    </row>
    <row r="715" ht="15.75" customHeight="1" spans="7:9">
      <c r="G715" s="45"/>
      <c r="H715" s="46"/>
      <c r="I715" s="46"/>
    </row>
    <row r="716" ht="15.75" customHeight="1" spans="7:9">
      <c r="G716" s="45"/>
      <c r="H716" s="46"/>
      <c r="I716" s="46"/>
    </row>
    <row r="717" ht="15.75" customHeight="1" spans="7:9">
      <c r="G717" s="45"/>
      <c r="H717" s="46"/>
      <c r="I717" s="46"/>
    </row>
    <row r="718" ht="15.75" customHeight="1" spans="7:9">
      <c r="G718" s="45"/>
      <c r="H718" s="46"/>
      <c r="I718" s="46"/>
    </row>
    <row r="719" ht="15.75" customHeight="1" spans="7:9">
      <c r="G719" s="45"/>
      <c r="H719" s="46"/>
      <c r="I719" s="46"/>
    </row>
    <row r="720" ht="15.75" customHeight="1" spans="7:9">
      <c r="G720" s="45"/>
      <c r="H720" s="46"/>
      <c r="I720" s="46"/>
    </row>
    <row r="721" ht="15.75" customHeight="1" spans="7:9">
      <c r="G721" s="45"/>
      <c r="H721" s="46"/>
      <c r="I721" s="46"/>
    </row>
    <row r="722" ht="15.75" customHeight="1" spans="7:9">
      <c r="G722" s="45"/>
      <c r="H722" s="46"/>
      <c r="I722" s="46"/>
    </row>
    <row r="723" ht="15.75" customHeight="1" spans="7:9">
      <c r="G723" s="45"/>
      <c r="H723" s="46"/>
      <c r="I723" s="46"/>
    </row>
    <row r="724" ht="15.75" customHeight="1" spans="7:9">
      <c r="G724" s="45"/>
      <c r="H724" s="46"/>
      <c r="I724" s="46"/>
    </row>
    <row r="725" ht="15.75" customHeight="1" spans="7:9">
      <c r="G725" s="45"/>
      <c r="H725" s="46"/>
      <c r="I725" s="46"/>
    </row>
    <row r="726" ht="15.75" customHeight="1" spans="7:9">
      <c r="G726" s="45"/>
      <c r="H726" s="46"/>
      <c r="I726" s="46"/>
    </row>
    <row r="727" ht="15.75" customHeight="1" spans="7:9">
      <c r="G727" s="45"/>
      <c r="H727" s="46"/>
      <c r="I727" s="46"/>
    </row>
    <row r="728" ht="15.75" customHeight="1" spans="7:9">
      <c r="G728" s="45"/>
      <c r="H728" s="46"/>
      <c r="I728" s="46"/>
    </row>
    <row r="729" ht="15.75" customHeight="1" spans="7:9">
      <c r="G729" s="45"/>
      <c r="H729" s="46"/>
      <c r="I729" s="46"/>
    </row>
    <row r="730" ht="15.75" customHeight="1" spans="7:9">
      <c r="G730" s="45"/>
      <c r="H730" s="46"/>
      <c r="I730" s="46"/>
    </row>
    <row r="731" ht="15.75" customHeight="1" spans="7:9">
      <c r="G731" s="45"/>
      <c r="H731" s="46"/>
      <c r="I731" s="46"/>
    </row>
    <row r="732" ht="15.75" customHeight="1" spans="7:9">
      <c r="G732" s="45"/>
      <c r="H732" s="46"/>
      <c r="I732" s="46"/>
    </row>
    <row r="733" ht="15.75" customHeight="1" spans="7:9">
      <c r="G733" s="45"/>
      <c r="H733" s="46"/>
      <c r="I733" s="46"/>
    </row>
    <row r="734" ht="15.75" customHeight="1" spans="7:9">
      <c r="G734" s="45"/>
      <c r="H734" s="46"/>
      <c r="I734" s="46"/>
    </row>
    <row r="735" ht="15.75" customHeight="1" spans="7:9">
      <c r="G735" s="45"/>
      <c r="H735" s="46"/>
      <c r="I735" s="46"/>
    </row>
    <row r="736" ht="15.75" customHeight="1" spans="7:9">
      <c r="G736" s="45"/>
      <c r="H736" s="46"/>
      <c r="I736" s="46"/>
    </row>
    <row r="737" ht="15.75" customHeight="1" spans="7:9">
      <c r="G737" s="45"/>
      <c r="H737" s="46"/>
      <c r="I737" s="46"/>
    </row>
    <row r="738" ht="15.75" customHeight="1" spans="7:9">
      <c r="G738" s="45"/>
      <c r="H738" s="46"/>
      <c r="I738" s="46"/>
    </row>
    <row r="739" ht="15.75" customHeight="1" spans="7:9">
      <c r="G739" s="45"/>
      <c r="H739" s="46"/>
      <c r="I739" s="46"/>
    </row>
    <row r="740" ht="15.75" customHeight="1" spans="7:9">
      <c r="G740" s="45"/>
      <c r="H740" s="46"/>
      <c r="I740" s="46"/>
    </row>
    <row r="741" ht="15.75" customHeight="1" spans="7:9">
      <c r="G741" s="45"/>
      <c r="H741" s="46"/>
      <c r="I741" s="46"/>
    </row>
    <row r="742" ht="15.75" customHeight="1" spans="7:9">
      <c r="G742" s="45"/>
      <c r="H742" s="46"/>
      <c r="I742" s="46"/>
    </row>
    <row r="743" ht="15.75" customHeight="1" spans="7:9">
      <c r="G743" s="45"/>
      <c r="H743" s="46"/>
      <c r="I743" s="46"/>
    </row>
    <row r="744" ht="15.75" customHeight="1" spans="7:9">
      <c r="G744" s="45"/>
      <c r="H744" s="46"/>
      <c r="I744" s="46"/>
    </row>
    <row r="745" ht="15.75" customHeight="1" spans="7:9">
      <c r="G745" s="45"/>
      <c r="H745" s="46"/>
      <c r="I745" s="46"/>
    </row>
    <row r="746" ht="15.75" customHeight="1" spans="7:9">
      <c r="G746" s="45"/>
      <c r="H746" s="46"/>
      <c r="I746" s="46"/>
    </row>
    <row r="747" ht="15.75" customHeight="1" spans="7:9">
      <c r="G747" s="45"/>
      <c r="H747" s="46"/>
      <c r="I747" s="46"/>
    </row>
    <row r="748" ht="15.75" customHeight="1" spans="7:9">
      <c r="G748" s="45"/>
      <c r="H748" s="46"/>
      <c r="I748" s="46"/>
    </row>
    <row r="749" ht="15.75" customHeight="1" spans="7:9">
      <c r="G749" s="45"/>
      <c r="H749" s="46"/>
      <c r="I749" s="46"/>
    </row>
    <row r="750" ht="15.75" customHeight="1" spans="7:9">
      <c r="G750" s="45"/>
      <c r="H750" s="46"/>
      <c r="I750" s="46"/>
    </row>
    <row r="751" ht="15.75" customHeight="1" spans="7:9">
      <c r="G751" s="45"/>
      <c r="H751" s="46"/>
      <c r="I751" s="46"/>
    </row>
    <row r="752" ht="15.75" customHeight="1" spans="7:9">
      <c r="G752" s="45"/>
      <c r="H752" s="46"/>
      <c r="I752" s="46"/>
    </row>
    <row r="753" ht="15.75" customHeight="1" spans="7:9">
      <c r="G753" s="45"/>
      <c r="H753" s="46"/>
      <c r="I753" s="46"/>
    </row>
    <row r="754" ht="15.75" customHeight="1" spans="7:9">
      <c r="G754" s="45"/>
      <c r="H754" s="46"/>
      <c r="I754" s="46"/>
    </row>
    <row r="755" ht="15.75" customHeight="1" spans="7:9">
      <c r="G755" s="45"/>
      <c r="H755" s="46"/>
      <c r="I755" s="46"/>
    </row>
    <row r="756" ht="15.75" customHeight="1" spans="7:9">
      <c r="G756" s="45"/>
      <c r="H756" s="46"/>
      <c r="I756" s="46"/>
    </row>
    <row r="757" ht="15.75" customHeight="1" spans="7:9">
      <c r="G757" s="45"/>
      <c r="H757" s="46"/>
      <c r="I757" s="46"/>
    </row>
    <row r="758" ht="15.75" customHeight="1" spans="7:9">
      <c r="G758" s="45"/>
      <c r="H758" s="46"/>
      <c r="I758" s="46"/>
    </row>
    <row r="759" ht="15.75" customHeight="1" spans="7:9">
      <c r="G759" s="45"/>
      <c r="H759" s="46"/>
      <c r="I759" s="46"/>
    </row>
    <row r="760" ht="15.75" customHeight="1" spans="7:9">
      <c r="G760" s="45"/>
      <c r="H760" s="46"/>
      <c r="I760" s="46"/>
    </row>
    <row r="761" ht="15.75" customHeight="1" spans="7:9">
      <c r="G761" s="45"/>
      <c r="H761" s="46"/>
      <c r="I761" s="46"/>
    </row>
    <row r="762" ht="15.75" customHeight="1" spans="7:9">
      <c r="G762" s="45"/>
      <c r="H762" s="46"/>
      <c r="I762" s="46"/>
    </row>
    <row r="763" ht="15.75" customHeight="1" spans="7:9">
      <c r="G763" s="45"/>
      <c r="H763" s="46"/>
      <c r="I763" s="46"/>
    </row>
    <row r="764" ht="15.75" customHeight="1" spans="7:9">
      <c r="G764" s="45"/>
      <c r="H764" s="46"/>
      <c r="I764" s="46"/>
    </row>
    <row r="765" ht="15.75" customHeight="1" spans="7:9">
      <c r="G765" s="45"/>
      <c r="H765" s="46"/>
      <c r="I765" s="46"/>
    </row>
    <row r="766" ht="15.75" customHeight="1" spans="7:9">
      <c r="G766" s="45"/>
      <c r="H766" s="46"/>
      <c r="I766" s="46"/>
    </row>
    <row r="767" ht="15.75" customHeight="1" spans="7:9">
      <c r="G767" s="45"/>
      <c r="H767" s="46"/>
      <c r="I767" s="46"/>
    </row>
    <row r="768" ht="15.75" customHeight="1" spans="7:9">
      <c r="G768" s="45"/>
      <c r="H768" s="46"/>
      <c r="I768" s="46"/>
    </row>
    <row r="769" ht="15.75" customHeight="1" spans="7:9">
      <c r="G769" s="45"/>
      <c r="H769" s="46"/>
      <c r="I769" s="46"/>
    </row>
    <row r="770" ht="15.75" customHeight="1" spans="7:9">
      <c r="G770" s="45"/>
      <c r="H770" s="46"/>
      <c r="I770" s="46"/>
    </row>
    <row r="771" ht="15.75" customHeight="1" spans="7:9">
      <c r="G771" s="45"/>
      <c r="H771" s="46"/>
      <c r="I771" s="46"/>
    </row>
    <row r="772" ht="15.75" customHeight="1" spans="7:9">
      <c r="G772" s="45"/>
      <c r="H772" s="46"/>
      <c r="I772" s="46"/>
    </row>
    <row r="773" ht="15.75" customHeight="1" spans="7:9">
      <c r="G773" s="45"/>
      <c r="H773" s="46"/>
      <c r="I773" s="46"/>
    </row>
    <row r="774" ht="15.75" customHeight="1" spans="7:9">
      <c r="G774" s="45"/>
      <c r="H774" s="46"/>
      <c r="I774" s="46"/>
    </row>
    <row r="775" ht="15.75" customHeight="1" spans="7:9">
      <c r="G775" s="45"/>
      <c r="H775" s="46"/>
      <c r="I775" s="46"/>
    </row>
    <row r="776" ht="15.75" customHeight="1" spans="7:9">
      <c r="G776" s="45"/>
      <c r="H776" s="46"/>
      <c r="I776" s="46"/>
    </row>
    <row r="777" ht="15.75" customHeight="1" spans="7:9">
      <c r="G777" s="45"/>
      <c r="H777" s="46"/>
      <c r="I777" s="46"/>
    </row>
    <row r="778" ht="15.75" customHeight="1" spans="7:9">
      <c r="G778" s="45"/>
      <c r="H778" s="46"/>
      <c r="I778" s="46"/>
    </row>
    <row r="779" ht="15.75" customHeight="1" spans="7:9">
      <c r="G779" s="45"/>
      <c r="H779" s="46"/>
      <c r="I779" s="46"/>
    </row>
    <row r="780" ht="15.75" customHeight="1" spans="7:9">
      <c r="G780" s="45"/>
      <c r="H780" s="46"/>
      <c r="I780" s="46"/>
    </row>
    <row r="781" ht="15.75" customHeight="1" spans="7:9">
      <c r="G781" s="45"/>
      <c r="H781" s="46"/>
      <c r="I781" s="46"/>
    </row>
    <row r="782" ht="15.75" customHeight="1" spans="7:9">
      <c r="G782" s="45"/>
      <c r="H782" s="46"/>
      <c r="I782" s="46"/>
    </row>
    <row r="783" ht="15.75" customHeight="1" spans="7:9">
      <c r="G783" s="45"/>
      <c r="H783" s="46"/>
      <c r="I783" s="46"/>
    </row>
    <row r="784" ht="15.75" customHeight="1" spans="7:9">
      <c r="G784" s="45"/>
      <c r="H784" s="46"/>
      <c r="I784" s="46"/>
    </row>
    <row r="785" ht="15.75" customHeight="1" spans="7:9">
      <c r="G785" s="45"/>
      <c r="H785" s="46"/>
      <c r="I785" s="46"/>
    </row>
    <row r="786" ht="15.75" customHeight="1" spans="7:9">
      <c r="G786" s="45"/>
      <c r="H786" s="46"/>
      <c r="I786" s="46"/>
    </row>
    <row r="787" ht="15.75" customHeight="1" spans="7:9">
      <c r="G787" s="45"/>
      <c r="H787" s="46"/>
      <c r="I787" s="46"/>
    </row>
    <row r="788" ht="15.75" customHeight="1" spans="7:9">
      <c r="G788" s="45"/>
      <c r="H788" s="46"/>
      <c r="I788" s="46"/>
    </row>
    <row r="789" ht="15.75" customHeight="1" spans="7:9">
      <c r="G789" s="45"/>
      <c r="H789" s="46"/>
      <c r="I789" s="46"/>
    </row>
    <row r="790" ht="15.75" customHeight="1" spans="7:9">
      <c r="G790" s="45"/>
      <c r="H790" s="46"/>
      <c r="I790" s="46"/>
    </row>
    <row r="791" ht="15.75" customHeight="1" spans="7:9">
      <c r="G791" s="45"/>
      <c r="H791" s="46"/>
      <c r="I791" s="46"/>
    </row>
    <row r="792" ht="15.75" customHeight="1" spans="7:9">
      <c r="G792" s="45"/>
      <c r="H792" s="46"/>
      <c r="I792" s="46"/>
    </row>
    <row r="793" ht="15.75" customHeight="1" spans="7:9">
      <c r="G793" s="45"/>
      <c r="H793" s="46"/>
      <c r="I793" s="46"/>
    </row>
    <row r="794" ht="15.75" customHeight="1" spans="7:9">
      <c r="G794" s="45"/>
      <c r="H794" s="46"/>
      <c r="I794" s="46"/>
    </row>
    <row r="795" ht="15.75" customHeight="1" spans="7:9">
      <c r="G795" s="45"/>
      <c r="H795" s="46"/>
      <c r="I795" s="46"/>
    </row>
    <row r="796" ht="15.75" customHeight="1" spans="7:9">
      <c r="G796" s="45"/>
      <c r="H796" s="46"/>
      <c r="I796" s="46"/>
    </row>
    <row r="797" ht="15.75" customHeight="1" spans="7:9">
      <c r="G797" s="45"/>
      <c r="H797" s="46"/>
      <c r="I797" s="46"/>
    </row>
    <row r="798" ht="15.75" customHeight="1" spans="7:9">
      <c r="G798" s="45"/>
      <c r="H798" s="46"/>
      <c r="I798" s="46"/>
    </row>
    <row r="799" ht="15.75" customHeight="1" spans="7:9">
      <c r="G799" s="45"/>
      <c r="H799" s="46"/>
      <c r="I799" s="46"/>
    </row>
    <row r="800" ht="15.75" customHeight="1" spans="7:9">
      <c r="G800" s="45"/>
      <c r="H800" s="46"/>
      <c r="I800" s="46"/>
    </row>
    <row r="801" ht="15.75" customHeight="1" spans="7:9">
      <c r="G801" s="45"/>
      <c r="H801" s="46"/>
      <c r="I801" s="46"/>
    </row>
    <row r="802" ht="15.75" customHeight="1" spans="7:9">
      <c r="G802" s="45"/>
      <c r="H802" s="46"/>
      <c r="I802" s="46"/>
    </row>
    <row r="803" ht="15.75" customHeight="1" spans="7:9">
      <c r="G803" s="45"/>
      <c r="H803" s="46"/>
      <c r="I803" s="46"/>
    </row>
    <row r="804" ht="15.75" customHeight="1" spans="7:9">
      <c r="G804" s="45"/>
      <c r="H804" s="46"/>
      <c r="I804" s="46"/>
    </row>
    <row r="805" ht="15.75" customHeight="1" spans="7:9">
      <c r="G805" s="45"/>
      <c r="H805" s="46"/>
      <c r="I805" s="46"/>
    </row>
    <row r="806" ht="15.75" customHeight="1" spans="7:9">
      <c r="G806" s="45"/>
      <c r="H806" s="46"/>
      <c r="I806" s="46"/>
    </row>
    <row r="807" ht="15.75" customHeight="1" spans="7:9">
      <c r="G807" s="45"/>
      <c r="H807" s="46"/>
      <c r="I807" s="46"/>
    </row>
    <row r="808" ht="15.75" customHeight="1" spans="7:9">
      <c r="G808" s="45"/>
      <c r="H808" s="46"/>
      <c r="I808" s="46"/>
    </row>
    <row r="809" ht="15.75" customHeight="1" spans="7:9">
      <c r="G809" s="45"/>
      <c r="H809" s="46"/>
      <c r="I809" s="46"/>
    </row>
    <row r="810" ht="15.75" customHeight="1" spans="7:9">
      <c r="G810" s="45"/>
      <c r="H810" s="46"/>
      <c r="I810" s="46"/>
    </row>
    <row r="811" ht="15.75" customHeight="1" spans="7:9">
      <c r="G811" s="45"/>
      <c r="H811" s="46"/>
      <c r="I811" s="46"/>
    </row>
    <row r="812" ht="15.75" customHeight="1" spans="7:9">
      <c r="G812" s="45"/>
      <c r="H812" s="46"/>
      <c r="I812" s="46"/>
    </row>
    <row r="813" ht="15.75" customHeight="1" spans="7:9">
      <c r="G813" s="45"/>
      <c r="H813" s="46"/>
      <c r="I813" s="46"/>
    </row>
    <row r="814" ht="15.75" customHeight="1" spans="7:9">
      <c r="G814" s="45"/>
      <c r="H814" s="46"/>
      <c r="I814" s="46"/>
    </row>
    <row r="815" ht="15.75" customHeight="1" spans="7:9">
      <c r="G815" s="45"/>
      <c r="H815" s="46"/>
      <c r="I815" s="46"/>
    </row>
    <row r="816" ht="15.75" customHeight="1" spans="7:9">
      <c r="G816" s="45"/>
      <c r="H816" s="46"/>
      <c r="I816" s="46"/>
    </row>
    <row r="817" ht="15.75" customHeight="1" spans="7:9">
      <c r="G817" s="45"/>
      <c r="H817" s="46"/>
      <c r="I817" s="46"/>
    </row>
    <row r="818" ht="15.75" customHeight="1" spans="7:9">
      <c r="G818" s="45"/>
      <c r="H818" s="46"/>
      <c r="I818" s="46"/>
    </row>
    <row r="819" ht="15.75" customHeight="1" spans="7:9">
      <c r="G819" s="45"/>
      <c r="H819" s="46"/>
      <c r="I819" s="46"/>
    </row>
    <row r="820" ht="15.75" customHeight="1" spans="7:9">
      <c r="G820" s="45"/>
      <c r="H820" s="46"/>
      <c r="I820" s="46"/>
    </row>
    <row r="821" ht="15.75" customHeight="1" spans="7:9">
      <c r="G821" s="45"/>
      <c r="H821" s="46"/>
      <c r="I821" s="46"/>
    </row>
    <row r="822" ht="15.75" customHeight="1" spans="7:9">
      <c r="G822" s="45"/>
      <c r="H822" s="46"/>
      <c r="I822" s="46"/>
    </row>
    <row r="823" ht="15.75" customHeight="1" spans="7:9">
      <c r="G823" s="45"/>
      <c r="H823" s="46"/>
      <c r="I823" s="46"/>
    </row>
    <row r="824" ht="15.75" customHeight="1" spans="7:9">
      <c r="G824" s="45"/>
      <c r="H824" s="46"/>
      <c r="I824" s="46"/>
    </row>
    <row r="825" ht="15.75" customHeight="1" spans="7:9">
      <c r="G825" s="45"/>
      <c r="H825" s="46"/>
      <c r="I825" s="46"/>
    </row>
    <row r="826" ht="15.75" customHeight="1" spans="7:9">
      <c r="G826" s="45"/>
      <c r="H826" s="46"/>
      <c r="I826" s="46"/>
    </row>
    <row r="827" ht="15.75" customHeight="1" spans="7:9">
      <c r="G827" s="45"/>
      <c r="H827" s="46"/>
      <c r="I827" s="46"/>
    </row>
    <row r="828" ht="15.75" customHeight="1" spans="7:9">
      <c r="G828" s="45"/>
      <c r="H828" s="46"/>
      <c r="I828" s="46"/>
    </row>
    <row r="829" ht="15.75" customHeight="1" spans="7:9">
      <c r="G829" s="45"/>
      <c r="H829" s="46"/>
      <c r="I829" s="46"/>
    </row>
    <row r="830" ht="15.75" customHeight="1" spans="7:9">
      <c r="G830" s="45"/>
      <c r="H830" s="46"/>
      <c r="I830" s="46"/>
    </row>
    <row r="831" ht="15.75" customHeight="1" spans="7:9">
      <c r="G831" s="45"/>
      <c r="H831" s="46"/>
      <c r="I831" s="46"/>
    </row>
    <row r="832" ht="15.75" customHeight="1" spans="7:9">
      <c r="G832" s="45"/>
      <c r="H832" s="46"/>
      <c r="I832" s="46"/>
    </row>
    <row r="833" ht="15.75" customHeight="1" spans="7:9">
      <c r="G833" s="45"/>
      <c r="H833" s="46"/>
      <c r="I833" s="46"/>
    </row>
    <row r="834" ht="15.75" customHeight="1" spans="7:9">
      <c r="G834" s="45"/>
      <c r="H834" s="46"/>
      <c r="I834" s="46"/>
    </row>
    <row r="835" ht="15.75" customHeight="1" spans="7:9">
      <c r="G835" s="45"/>
      <c r="H835" s="46"/>
      <c r="I835" s="46"/>
    </row>
    <row r="836" ht="15.75" customHeight="1" spans="7:9">
      <c r="G836" s="45"/>
      <c r="H836" s="46"/>
      <c r="I836" s="46"/>
    </row>
    <row r="837" ht="15.75" customHeight="1" spans="7:9">
      <c r="G837" s="45"/>
      <c r="H837" s="46"/>
      <c r="I837" s="46"/>
    </row>
    <row r="838" ht="15.75" customHeight="1" spans="7:9">
      <c r="G838" s="45"/>
      <c r="H838" s="46"/>
      <c r="I838" s="46"/>
    </row>
    <row r="839" ht="15.75" customHeight="1" spans="7:9">
      <c r="G839" s="45"/>
      <c r="H839" s="46"/>
      <c r="I839" s="46"/>
    </row>
    <row r="840" ht="15.75" customHeight="1" spans="7:9">
      <c r="G840" s="45"/>
      <c r="H840" s="46"/>
      <c r="I840" s="46"/>
    </row>
    <row r="841" ht="15.75" customHeight="1" spans="7:9">
      <c r="G841" s="45"/>
      <c r="H841" s="46"/>
      <c r="I841" s="46"/>
    </row>
    <row r="842" ht="15.75" customHeight="1" spans="7:9">
      <c r="G842" s="45"/>
      <c r="H842" s="46"/>
      <c r="I842" s="46"/>
    </row>
    <row r="843" ht="15.75" customHeight="1" spans="7:9">
      <c r="G843" s="45"/>
      <c r="H843" s="46"/>
      <c r="I843" s="46"/>
    </row>
    <row r="844" ht="15.75" customHeight="1" spans="7:9">
      <c r="G844" s="45"/>
      <c r="H844" s="46"/>
      <c r="I844" s="46"/>
    </row>
    <row r="845" ht="15.75" customHeight="1" spans="7:9">
      <c r="G845" s="45"/>
      <c r="H845" s="46"/>
      <c r="I845" s="46"/>
    </row>
    <row r="846" ht="15.75" customHeight="1" spans="7:9">
      <c r="G846" s="45"/>
      <c r="H846" s="46"/>
      <c r="I846" s="46"/>
    </row>
    <row r="847" ht="15.75" customHeight="1" spans="7:9">
      <c r="G847" s="45"/>
      <c r="H847" s="46"/>
      <c r="I847" s="46"/>
    </row>
    <row r="848" ht="15.75" customHeight="1" spans="7:9">
      <c r="G848" s="45"/>
      <c r="H848" s="46"/>
      <c r="I848" s="46"/>
    </row>
    <row r="849" ht="15.75" customHeight="1" spans="7:9">
      <c r="G849" s="45"/>
      <c r="H849" s="46"/>
      <c r="I849" s="46"/>
    </row>
    <row r="850" ht="15.75" customHeight="1" spans="7:9">
      <c r="G850" s="45"/>
      <c r="H850" s="46"/>
      <c r="I850" s="46"/>
    </row>
    <row r="851" ht="15.75" customHeight="1" spans="7:9">
      <c r="G851" s="45"/>
      <c r="H851" s="46"/>
      <c r="I851" s="46"/>
    </row>
    <row r="852" ht="15.75" customHeight="1" spans="7:9">
      <c r="G852" s="45"/>
      <c r="H852" s="46"/>
      <c r="I852" s="46"/>
    </row>
    <row r="853" ht="15.75" customHeight="1" spans="7:9">
      <c r="G853" s="45"/>
      <c r="H853" s="46"/>
      <c r="I853" s="46"/>
    </row>
    <row r="854" ht="15.75" customHeight="1" spans="7:9">
      <c r="G854" s="45"/>
      <c r="H854" s="46"/>
      <c r="I854" s="46"/>
    </row>
    <row r="855" ht="15.75" customHeight="1" spans="7:9">
      <c r="G855" s="45"/>
      <c r="H855" s="46"/>
      <c r="I855" s="46"/>
    </row>
    <row r="856" ht="15.75" customHeight="1" spans="7:9">
      <c r="G856" s="45"/>
      <c r="H856" s="46"/>
      <c r="I856" s="46"/>
    </row>
    <row r="857" ht="15.75" customHeight="1" spans="7:9">
      <c r="G857" s="45"/>
      <c r="H857" s="46"/>
      <c r="I857" s="46"/>
    </row>
    <row r="858" ht="15.75" customHeight="1" spans="7:9">
      <c r="G858" s="45"/>
      <c r="H858" s="46"/>
      <c r="I858" s="46"/>
    </row>
    <row r="859" ht="15.75" customHeight="1" spans="7:9">
      <c r="G859" s="45"/>
      <c r="H859" s="46"/>
      <c r="I859" s="46"/>
    </row>
    <row r="860" ht="15.75" customHeight="1" spans="7:9">
      <c r="G860" s="45"/>
      <c r="H860" s="46"/>
      <c r="I860" s="46"/>
    </row>
    <row r="861" ht="15.75" customHeight="1" spans="7:9">
      <c r="G861" s="45"/>
      <c r="H861" s="46"/>
      <c r="I861" s="46"/>
    </row>
    <row r="862" ht="15.75" customHeight="1" spans="7:9">
      <c r="G862" s="45"/>
      <c r="H862" s="46"/>
      <c r="I862" s="46"/>
    </row>
    <row r="863" ht="15.75" customHeight="1" spans="7:9">
      <c r="G863" s="45"/>
      <c r="H863" s="46"/>
      <c r="I863" s="46"/>
    </row>
    <row r="864" ht="15.75" customHeight="1" spans="7:9">
      <c r="G864" s="45"/>
      <c r="H864" s="46"/>
      <c r="I864" s="46"/>
    </row>
    <row r="865" ht="15.75" customHeight="1" spans="7:9">
      <c r="G865" s="45"/>
      <c r="H865" s="46"/>
      <c r="I865" s="46"/>
    </row>
    <row r="866" ht="15.75" customHeight="1" spans="7:9">
      <c r="G866" s="45"/>
      <c r="H866" s="46"/>
      <c r="I866" s="46"/>
    </row>
    <row r="867" ht="15.75" customHeight="1" spans="7:9">
      <c r="G867" s="45"/>
      <c r="H867" s="46"/>
      <c r="I867" s="46"/>
    </row>
    <row r="868" ht="15.75" customHeight="1" spans="7:9">
      <c r="G868" s="45"/>
      <c r="H868" s="46"/>
      <c r="I868" s="46"/>
    </row>
    <row r="869" ht="15.75" customHeight="1" spans="7:9">
      <c r="G869" s="45"/>
      <c r="H869" s="46"/>
      <c r="I869" s="46"/>
    </row>
    <row r="870" ht="15.75" customHeight="1" spans="7:9">
      <c r="G870" s="45"/>
      <c r="H870" s="46"/>
      <c r="I870" s="46"/>
    </row>
    <row r="871" ht="15.75" customHeight="1" spans="7:9">
      <c r="G871" s="45"/>
      <c r="H871" s="46"/>
      <c r="I871" s="46"/>
    </row>
    <row r="872" ht="15.75" customHeight="1" spans="7:9">
      <c r="G872" s="45"/>
      <c r="H872" s="46"/>
      <c r="I872" s="46"/>
    </row>
    <row r="873" ht="15.75" customHeight="1" spans="7:9">
      <c r="G873" s="45"/>
      <c r="H873" s="46"/>
      <c r="I873" s="46"/>
    </row>
    <row r="874" ht="15.75" customHeight="1" spans="7:9">
      <c r="G874" s="45"/>
      <c r="H874" s="46"/>
      <c r="I874" s="46"/>
    </row>
    <row r="875" ht="15.75" customHeight="1" spans="7:9">
      <c r="G875" s="45"/>
      <c r="H875" s="46"/>
      <c r="I875" s="46"/>
    </row>
    <row r="876" ht="15.75" customHeight="1" spans="7:9">
      <c r="G876" s="45"/>
      <c r="H876" s="46"/>
      <c r="I876" s="46"/>
    </row>
    <row r="877" ht="15.75" customHeight="1" spans="7:9">
      <c r="G877" s="45"/>
      <c r="H877" s="46"/>
      <c r="I877" s="46"/>
    </row>
    <row r="878" ht="15.75" customHeight="1" spans="7:9">
      <c r="G878" s="45"/>
      <c r="H878" s="46"/>
      <c r="I878" s="46"/>
    </row>
    <row r="879" ht="15.75" customHeight="1" spans="7:9">
      <c r="G879" s="45"/>
      <c r="H879" s="46"/>
      <c r="I879" s="46"/>
    </row>
    <row r="880" ht="15.75" customHeight="1" spans="7:9">
      <c r="G880" s="45"/>
      <c r="H880" s="46"/>
      <c r="I880" s="46"/>
    </row>
    <row r="881" ht="15.75" customHeight="1" spans="7:9">
      <c r="G881" s="45"/>
      <c r="H881" s="46"/>
      <c r="I881" s="46"/>
    </row>
    <row r="882" ht="15.75" customHeight="1" spans="7:9">
      <c r="G882" s="45"/>
      <c r="H882" s="46"/>
      <c r="I882" s="46"/>
    </row>
    <row r="883" ht="15.75" customHeight="1" spans="7:9">
      <c r="G883" s="45"/>
      <c r="H883" s="46"/>
      <c r="I883" s="46"/>
    </row>
    <row r="884" ht="15.75" customHeight="1" spans="7:9">
      <c r="G884" s="45"/>
      <c r="H884" s="46"/>
      <c r="I884" s="46"/>
    </row>
    <row r="885" ht="15.75" customHeight="1" spans="7:9">
      <c r="G885" s="45"/>
      <c r="H885" s="46"/>
      <c r="I885" s="46"/>
    </row>
    <row r="886" ht="15.75" customHeight="1" spans="7:9">
      <c r="G886" s="45"/>
      <c r="H886" s="46"/>
      <c r="I886" s="46"/>
    </row>
    <row r="887" ht="15.75" customHeight="1" spans="7:9">
      <c r="G887" s="45"/>
      <c r="H887" s="46"/>
      <c r="I887" s="46"/>
    </row>
    <row r="888" ht="15.75" customHeight="1" spans="7:9">
      <c r="G888" s="45"/>
      <c r="H888" s="46"/>
      <c r="I888" s="46"/>
    </row>
    <row r="889" ht="15.75" customHeight="1" spans="7:9">
      <c r="G889" s="45"/>
      <c r="H889" s="46"/>
      <c r="I889" s="46"/>
    </row>
    <row r="890" ht="15.75" customHeight="1" spans="7:9">
      <c r="G890" s="45"/>
      <c r="H890" s="46"/>
      <c r="I890" s="46"/>
    </row>
    <row r="891" ht="15.75" customHeight="1" spans="7:9">
      <c r="G891" s="45"/>
      <c r="H891" s="46"/>
      <c r="I891" s="46"/>
    </row>
    <row r="892" ht="15.75" customHeight="1" spans="7:9">
      <c r="G892" s="45"/>
      <c r="H892" s="46"/>
      <c r="I892" s="46"/>
    </row>
    <row r="893" ht="15.75" customHeight="1" spans="7:9">
      <c r="G893" s="45"/>
      <c r="H893" s="46"/>
      <c r="I893" s="46"/>
    </row>
    <row r="894" ht="15.75" customHeight="1" spans="7:9">
      <c r="G894" s="45"/>
      <c r="H894" s="46"/>
      <c r="I894" s="46"/>
    </row>
    <row r="895" ht="15.75" customHeight="1" spans="7:9">
      <c r="G895" s="45"/>
      <c r="H895" s="46"/>
      <c r="I895" s="46"/>
    </row>
    <row r="896" ht="15.75" customHeight="1" spans="7:9">
      <c r="G896" s="45"/>
      <c r="H896" s="46"/>
      <c r="I896" s="46"/>
    </row>
    <row r="897" ht="15.75" customHeight="1" spans="7:9">
      <c r="G897" s="45"/>
      <c r="H897" s="46"/>
      <c r="I897" s="46"/>
    </row>
    <row r="898" ht="15.75" customHeight="1" spans="7:9">
      <c r="G898" s="45"/>
      <c r="H898" s="46"/>
      <c r="I898" s="46"/>
    </row>
    <row r="899" ht="15.75" customHeight="1" spans="7:9">
      <c r="G899" s="45"/>
      <c r="H899" s="46"/>
      <c r="I899" s="46"/>
    </row>
    <row r="900" ht="15.75" customHeight="1" spans="7:9">
      <c r="G900" s="45"/>
      <c r="H900" s="46"/>
      <c r="I900" s="46"/>
    </row>
    <row r="901" ht="15.75" customHeight="1" spans="7:9">
      <c r="G901" s="45"/>
      <c r="H901" s="46"/>
      <c r="I901" s="46"/>
    </row>
    <row r="902" ht="15.75" customHeight="1" spans="7:9">
      <c r="G902" s="45"/>
      <c r="H902" s="46"/>
      <c r="I902" s="46"/>
    </row>
    <row r="903" ht="15.75" customHeight="1" spans="7:9">
      <c r="G903" s="45"/>
      <c r="H903" s="46"/>
      <c r="I903" s="46"/>
    </row>
    <row r="904" ht="15.75" customHeight="1" spans="7:9">
      <c r="G904" s="45"/>
      <c r="H904" s="46"/>
      <c r="I904" s="46"/>
    </row>
    <row r="905" ht="15.75" customHeight="1" spans="7:9">
      <c r="G905" s="45"/>
      <c r="H905" s="46"/>
      <c r="I905" s="46"/>
    </row>
    <row r="906" ht="15.75" customHeight="1" spans="7:9">
      <c r="G906" s="45"/>
      <c r="H906" s="46"/>
      <c r="I906" s="46"/>
    </row>
    <row r="907" ht="15.75" customHeight="1" spans="7:9">
      <c r="G907" s="45"/>
      <c r="H907" s="46"/>
      <c r="I907" s="46"/>
    </row>
    <row r="908" ht="15.75" customHeight="1" spans="7:9">
      <c r="G908" s="45"/>
      <c r="H908" s="46"/>
      <c r="I908" s="46"/>
    </row>
    <row r="909" ht="15.75" customHeight="1" spans="7:9">
      <c r="G909" s="45"/>
      <c r="H909" s="46"/>
      <c r="I909" s="46"/>
    </row>
    <row r="910" ht="15.75" customHeight="1" spans="7:9">
      <c r="G910" s="45"/>
      <c r="H910" s="46"/>
      <c r="I910" s="46"/>
    </row>
    <row r="911" ht="15.75" customHeight="1" spans="7:9">
      <c r="G911" s="45"/>
      <c r="H911" s="46"/>
      <c r="I911" s="46"/>
    </row>
    <row r="912" ht="15.75" customHeight="1" spans="7:9">
      <c r="G912" s="45"/>
      <c r="H912" s="46"/>
      <c r="I912" s="46"/>
    </row>
    <row r="913" ht="15.75" customHeight="1" spans="7:9">
      <c r="G913" s="45"/>
      <c r="H913" s="46"/>
      <c r="I913" s="46"/>
    </row>
    <row r="914" ht="15.75" customHeight="1" spans="7:9">
      <c r="G914" s="45"/>
      <c r="H914" s="46"/>
      <c r="I914" s="46"/>
    </row>
    <row r="915" ht="15.75" customHeight="1" spans="7:9">
      <c r="G915" s="45"/>
      <c r="H915" s="46"/>
      <c r="I915" s="46"/>
    </row>
    <row r="916" ht="15.75" customHeight="1" spans="7:9">
      <c r="G916" s="45"/>
      <c r="H916" s="46"/>
      <c r="I916" s="46"/>
    </row>
    <row r="917" ht="15.75" customHeight="1" spans="7:9">
      <c r="G917" s="45"/>
      <c r="H917" s="46"/>
      <c r="I917" s="46"/>
    </row>
    <row r="918" ht="15.75" customHeight="1" spans="7:9">
      <c r="G918" s="45"/>
      <c r="H918" s="46"/>
      <c r="I918" s="46"/>
    </row>
    <row r="919" ht="15.75" customHeight="1" spans="7:9">
      <c r="G919" s="45"/>
      <c r="H919" s="46"/>
      <c r="I919" s="46"/>
    </row>
    <row r="920" ht="15.75" customHeight="1" spans="7:9">
      <c r="G920" s="45"/>
      <c r="H920" s="46"/>
      <c r="I920" s="46"/>
    </row>
    <row r="921" ht="15.75" customHeight="1" spans="7:9">
      <c r="G921" s="45"/>
      <c r="H921" s="46"/>
      <c r="I921" s="46"/>
    </row>
    <row r="922" ht="15.75" customHeight="1" spans="7:9">
      <c r="G922" s="45"/>
      <c r="H922" s="46"/>
      <c r="I922" s="46"/>
    </row>
    <row r="923" ht="15.75" customHeight="1" spans="7:9">
      <c r="G923" s="45"/>
      <c r="H923" s="46"/>
      <c r="I923" s="46"/>
    </row>
    <row r="924" ht="15.75" customHeight="1" spans="7:9">
      <c r="G924" s="45"/>
      <c r="H924" s="46"/>
      <c r="I924" s="46"/>
    </row>
    <row r="925" ht="15.75" customHeight="1" spans="7:9">
      <c r="G925" s="45"/>
      <c r="H925" s="46"/>
      <c r="I925" s="46"/>
    </row>
    <row r="926" ht="15.75" customHeight="1" spans="7:9">
      <c r="G926" s="45"/>
      <c r="H926" s="46"/>
      <c r="I926" s="46"/>
    </row>
    <row r="927" ht="15.75" customHeight="1" spans="7:9">
      <c r="G927" s="45"/>
      <c r="H927" s="46"/>
      <c r="I927" s="46"/>
    </row>
    <row r="928" ht="15.75" customHeight="1" spans="7:9">
      <c r="G928" s="45"/>
      <c r="H928" s="46"/>
      <c r="I928" s="46"/>
    </row>
    <row r="929" ht="15.75" customHeight="1" spans="7:9">
      <c r="G929" s="45"/>
      <c r="H929" s="46"/>
      <c r="I929" s="46"/>
    </row>
    <row r="930" ht="15.75" customHeight="1" spans="7:9">
      <c r="G930" s="45"/>
      <c r="H930" s="46"/>
      <c r="I930" s="46"/>
    </row>
    <row r="931" ht="15.75" customHeight="1" spans="7:9">
      <c r="G931" s="45"/>
      <c r="H931" s="46"/>
      <c r="I931" s="46"/>
    </row>
    <row r="932" ht="15.75" customHeight="1" spans="7:9">
      <c r="G932" s="45"/>
      <c r="H932" s="46"/>
      <c r="I932" s="46"/>
    </row>
    <row r="933" ht="15.75" customHeight="1" spans="7:9">
      <c r="G933" s="45"/>
      <c r="H933" s="46"/>
      <c r="I933" s="46"/>
    </row>
    <row r="934" ht="15.75" customHeight="1" spans="7:9">
      <c r="G934" s="45"/>
      <c r="H934" s="46"/>
      <c r="I934" s="46"/>
    </row>
    <row r="935" ht="15.75" customHeight="1" spans="7:9">
      <c r="G935" s="45"/>
      <c r="H935" s="46"/>
      <c r="I935" s="46"/>
    </row>
    <row r="936" ht="15.75" customHeight="1" spans="7:9">
      <c r="G936" s="45"/>
      <c r="H936" s="46"/>
      <c r="I936" s="46"/>
    </row>
    <row r="937" ht="15.75" customHeight="1" spans="7:9">
      <c r="G937" s="45"/>
      <c r="H937" s="46"/>
      <c r="I937" s="46"/>
    </row>
    <row r="938" ht="15.75" customHeight="1" spans="7:9">
      <c r="G938" s="45"/>
      <c r="H938" s="46"/>
      <c r="I938" s="46"/>
    </row>
    <row r="939" ht="15.75" customHeight="1" spans="7:9">
      <c r="G939" s="45"/>
      <c r="H939" s="46"/>
      <c r="I939" s="46"/>
    </row>
    <row r="940" ht="15.75" customHeight="1" spans="7:9">
      <c r="G940" s="45"/>
      <c r="H940" s="46"/>
      <c r="I940" s="46"/>
    </row>
    <row r="941" ht="15.75" customHeight="1" spans="7:9">
      <c r="G941" s="45"/>
      <c r="H941" s="46"/>
      <c r="I941" s="46"/>
    </row>
    <row r="942" ht="15.75" customHeight="1" spans="7:9">
      <c r="G942" s="45"/>
      <c r="H942" s="46"/>
      <c r="I942" s="46"/>
    </row>
    <row r="943" ht="15.75" customHeight="1" spans="7:9">
      <c r="G943" s="45"/>
      <c r="H943" s="46"/>
      <c r="I943" s="46"/>
    </row>
    <row r="944" ht="15.75" customHeight="1" spans="7:9">
      <c r="G944" s="45"/>
      <c r="H944" s="46"/>
      <c r="I944" s="46"/>
    </row>
    <row r="945" ht="15.75" customHeight="1" spans="7:9">
      <c r="G945" s="45"/>
      <c r="H945" s="46"/>
      <c r="I945" s="46"/>
    </row>
    <row r="946" ht="15.75" customHeight="1" spans="7:9">
      <c r="G946" s="45"/>
      <c r="H946" s="46"/>
      <c r="I946" s="46"/>
    </row>
    <row r="947" ht="15.75" customHeight="1" spans="7:9">
      <c r="G947" s="45"/>
      <c r="H947" s="46"/>
      <c r="I947" s="46"/>
    </row>
    <row r="948" ht="15.75" customHeight="1" spans="7:9">
      <c r="G948" s="45"/>
      <c r="H948" s="46"/>
      <c r="I948" s="46"/>
    </row>
    <row r="949" ht="15.75" customHeight="1" spans="7:9">
      <c r="G949" s="45"/>
      <c r="H949" s="46"/>
      <c r="I949" s="46"/>
    </row>
    <row r="950" ht="15.75" customHeight="1" spans="7:9">
      <c r="G950" s="45"/>
      <c r="H950" s="46"/>
      <c r="I950" s="46"/>
    </row>
    <row r="951" ht="15.75" customHeight="1" spans="7:9">
      <c r="G951" s="45"/>
      <c r="H951" s="46"/>
      <c r="I951" s="46"/>
    </row>
    <row r="952" ht="15.75" customHeight="1" spans="7:9">
      <c r="G952" s="45"/>
      <c r="H952" s="46"/>
      <c r="I952" s="46"/>
    </row>
    <row r="953" ht="15.75" customHeight="1" spans="7:9">
      <c r="G953" s="45"/>
      <c r="H953" s="46"/>
      <c r="I953" s="46"/>
    </row>
    <row r="954" ht="15.75" customHeight="1" spans="7:9">
      <c r="G954" s="45"/>
      <c r="H954" s="46"/>
      <c r="I954" s="46"/>
    </row>
    <row r="955" ht="15.75" customHeight="1" spans="7:9">
      <c r="G955" s="45"/>
      <c r="H955" s="46"/>
      <c r="I955" s="46"/>
    </row>
    <row r="956" ht="15.75" customHeight="1" spans="7:9">
      <c r="G956" s="45"/>
      <c r="H956" s="46"/>
      <c r="I956" s="46"/>
    </row>
    <row r="957" ht="15.75" customHeight="1" spans="7:9">
      <c r="G957" s="45"/>
      <c r="H957" s="46"/>
      <c r="I957" s="46"/>
    </row>
    <row r="958" ht="15.75" customHeight="1" spans="7:9">
      <c r="G958" s="45"/>
      <c r="H958" s="46"/>
      <c r="I958" s="46"/>
    </row>
    <row r="959" ht="15.75" customHeight="1" spans="7:9">
      <c r="G959" s="45"/>
      <c r="H959" s="46"/>
      <c r="I959" s="46"/>
    </row>
    <row r="960" ht="15.75" customHeight="1" spans="7:9">
      <c r="G960" s="45"/>
      <c r="H960" s="46"/>
      <c r="I960" s="46"/>
    </row>
    <row r="961" ht="15.75" customHeight="1" spans="7:9">
      <c r="G961" s="45"/>
      <c r="H961" s="46"/>
      <c r="I961" s="46"/>
    </row>
    <row r="962" ht="15.75" customHeight="1" spans="7:9">
      <c r="G962" s="45"/>
      <c r="H962" s="46"/>
      <c r="I962" s="46"/>
    </row>
    <row r="963" ht="15.75" customHeight="1" spans="7:9">
      <c r="G963" s="45"/>
      <c r="H963" s="46"/>
      <c r="I963" s="46"/>
    </row>
    <row r="964" ht="15.75" customHeight="1" spans="7:9">
      <c r="G964" s="45"/>
      <c r="H964" s="46"/>
      <c r="I964" s="46"/>
    </row>
    <row r="965" ht="15.75" customHeight="1" spans="7:9">
      <c r="G965" s="45"/>
      <c r="H965" s="46"/>
      <c r="I965" s="46"/>
    </row>
    <row r="966" ht="15.75" customHeight="1" spans="7:9">
      <c r="G966" s="45"/>
      <c r="H966" s="46"/>
      <c r="I966" s="46"/>
    </row>
    <row r="967" ht="15.75" customHeight="1" spans="7:9">
      <c r="G967" s="45"/>
      <c r="H967" s="46"/>
      <c r="I967" s="46"/>
    </row>
    <row r="968" ht="15.75" customHeight="1" spans="7:9">
      <c r="G968" s="45"/>
      <c r="H968" s="46"/>
      <c r="I968" s="46"/>
    </row>
    <row r="969" ht="15.75" customHeight="1" spans="7:9">
      <c r="G969" s="45"/>
      <c r="H969" s="46"/>
      <c r="I969" s="46"/>
    </row>
    <row r="970" ht="15.75" customHeight="1" spans="7:9">
      <c r="G970" s="45"/>
      <c r="H970" s="46"/>
      <c r="I970" s="46"/>
    </row>
    <row r="971" ht="15.75" customHeight="1" spans="7:9">
      <c r="G971" s="45"/>
      <c r="H971" s="46"/>
      <c r="I971" s="46"/>
    </row>
    <row r="972" ht="15.75" customHeight="1" spans="7:9">
      <c r="G972" s="45"/>
      <c r="H972" s="46"/>
      <c r="I972" s="46"/>
    </row>
    <row r="973" ht="15.75" customHeight="1" spans="7:9">
      <c r="G973" s="45"/>
      <c r="H973" s="46"/>
      <c r="I973" s="46"/>
    </row>
    <row r="974" ht="15.75" customHeight="1" spans="7:9">
      <c r="G974" s="45"/>
      <c r="H974" s="46"/>
      <c r="I974" s="46"/>
    </row>
    <row r="975" ht="15.75" customHeight="1" spans="7:9">
      <c r="G975" s="45"/>
      <c r="H975" s="46"/>
      <c r="I975" s="46"/>
    </row>
    <row r="976" ht="15.75" customHeight="1" spans="7:9">
      <c r="G976" s="45"/>
      <c r="H976" s="46"/>
      <c r="I976" s="46"/>
    </row>
    <row r="977" ht="15.75" customHeight="1" spans="7:9">
      <c r="G977" s="45"/>
      <c r="H977" s="46"/>
      <c r="I977" s="46"/>
    </row>
    <row r="978" ht="15.75" customHeight="1" spans="7:9">
      <c r="G978" s="45"/>
      <c r="H978" s="46"/>
      <c r="I978" s="46"/>
    </row>
    <row r="979" ht="15.75" customHeight="1" spans="7:9">
      <c r="G979" s="45"/>
      <c r="H979" s="46"/>
      <c r="I979" s="46"/>
    </row>
    <row r="980" ht="15.75" customHeight="1" spans="7:9">
      <c r="G980" s="45"/>
      <c r="H980" s="46"/>
      <c r="I980" s="46"/>
    </row>
    <row r="981" ht="15.75" customHeight="1" spans="7:9">
      <c r="G981" s="45"/>
      <c r="H981" s="46"/>
      <c r="I981" s="46"/>
    </row>
    <row r="982" ht="15.75" customHeight="1" spans="7:9">
      <c r="G982" s="45"/>
      <c r="H982" s="46"/>
      <c r="I982" s="46"/>
    </row>
    <row r="983" ht="15.75" customHeight="1" spans="7:9">
      <c r="G983" s="45"/>
      <c r="H983" s="46"/>
      <c r="I983" s="46"/>
    </row>
    <row r="984" ht="15.75" customHeight="1" spans="7:9">
      <c r="G984" s="45"/>
      <c r="H984" s="46"/>
      <c r="I984" s="46"/>
    </row>
    <row r="985" ht="15.75" customHeight="1" spans="7:9">
      <c r="G985" s="45"/>
      <c r="H985" s="46"/>
      <c r="I985" s="46"/>
    </row>
    <row r="986" ht="15.75" customHeight="1" spans="7:9">
      <c r="G986" s="45"/>
      <c r="H986" s="46"/>
      <c r="I986" s="46"/>
    </row>
    <row r="987" ht="15.75" customHeight="1" spans="7:9">
      <c r="G987" s="45"/>
      <c r="H987" s="46"/>
      <c r="I987" s="46"/>
    </row>
    <row r="988" ht="15.75" customHeight="1" spans="7:9">
      <c r="G988" s="45"/>
      <c r="H988" s="46"/>
      <c r="I988" s="46"/>
    </row>
    <row r="989" ht="15.75" customHeight="1" spans="7:9">
      <c r="G989" s="45"/>
      <c r="H989" s="46"/>
      <c r="I989" s="46"/>
    </row>
    <row r="990" ht="15.75" customHeight="1" spans="7:9">
      <c r="G990" s="45"/>
      <c r="H990" s="46"/>
      <c r="I990" s="46"/>
    </row>
    <row r="991" ht="15.75" customHeight="1" spans="7:9">
      <c r="G991" s="45"/>
      <c r="H991" s="46"/>
      <c r="I991" s="46"/>
    </row>
    <row r="992" ht="15.75" customHeight="1" spans="7:9">
      <c r="G992" s="45"/>
      <c r="H992" s="46"/>
      <c r="I992" s="46"/>
    </row>
    <row r="993" ht="15.75" customHeight="1" spans="7:9">
      <c r="G993" s="45"/>
      <c r="H993" s="46"/>
      <c r="I993" s="46"/>
    </row>
    <row r="994" ht="15.75" customHeight="1" spans="7:9">
      <c r="G994" s="45"/>
      <c r="H994" s="46"/>
      <c r="I994" s="46"/>
    </row>
    <row r="995" ht="15.75" customHeight="1" spans="7:9">
      <c r="G995" s="45"/>
      <c r="H995" s="46"/>
      <c r="I995" s="46"/>
    </row>
    <row r="996" ht="15.75" customHeight="1" spans="7:9">
      <c r="G996" s="45"/>
      <c r="H996" s="46"/>
      <c r="I996" s="46"/>
    </row>
    <row r="997" ht="15.75" customHeight="1" spans="7:9">
      <c r="G997" s="45"/>
      <c r="H997" s="46"/>
      <c r="I997" s="46"/>
    </row>
    <row r="998" ht="15.75" customHeight="1" spans="7:9">
      <c r="G998" s="45"/>
      <c r="H998" s="46"/>
      <c r="I998" s="46"/>
    </row>
    <row r="999" ht="15.75" customHeight="1" spans="7:9">
      <c r="G999" s="45"/>
      <c r="H999" s="46"/>
      <c r="I999" s="46"/>
    </row>
    <row r="1000" ht="15.75" customHeight="1" spans="7:9">
      <c r="G1000" s="45"/>
      <c r="H1000" s="46"/>
      <c r="I1000" s="46"/>
    </row>
    <row r="1001" customHeight="1" spans="7:9">
      <c r="G1001" s="45"/>
      <c r="H1001" s="46"/>
      <c r="I1001" s="46"/>
    </row>
    <row r="1002" customHeight="1" spans="7:9">
      <c r="G1002" s="45"/>
      <c r="H1002" s="46"/>
      <c r="I1002" s="46"/>
    </row>
  </sheetData>
  <dataValidations count="1">
    <dataValidation type="list" allowBlank="1" showErrorMessage="1" sqref="A34">
      <formula1>$A$3:$A$22</formula1>
    </dataValidation>
  </dataValidations>
  <pageMargins left="0.75" right="0.75" top="1" bottom="1" header="0" footer="0"/>
  <pageSetup paperSize="1" orientation="landscape"/>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1"/>
  <sheetViews>
    <sheetView tabSelected="1" workbookViewId="0">
      <selection activeCell="C30" sqref="C30"/>
    </sheetView>
  </sheetViews>
  <sheetFormatPr defaultColWidth="14.4285714285714" defaultRowHeight="15" customHeight="1"/>
  <cols>
    <col min="1" max="1" width="21.8571428571429" customWidth="1"/>
    <col min="2" max="2" width="9.14285714285714" customWidth="1"/>
    <col min="3" max="3" width="15.1428571428571" customWidth="1"/>
    <col min="4" max="4" width="11.5714285714286" customWidth="1"/>
    <col min="5" max="5" width="10.7142857142857" customWidth="1"/>
    <col min="6" max="6" width="18.8571428571429" customWidth="1"/>
    <col min="7" max="8" width="8.71428571428571" customWidth="1"/>
    <col min="9" max="9" width="46.1428571428571" customWidth="1"/>
    <col min="10" max="10" width="11.1428571428571" customWidth="1"/>
    <col min="11" max="14" width="8.71428571428571" customWidth="1"/>
    <col min="15" max="15" width="23.8571428571429" customWidth="1"/>
    <col min="16" max="26" width="8.71428571428571" customWidth="1"/>
  </cols>
  <sheetData>
    <row r="1" spans="1:26">
      <c r="A1" s="18" t="s">
        <v>81</v>
      </c>
      <c r="B1" s="18" t="s">
        <v>82</v>
      </c>
      <c r="C1" s="18" t="s">
        <v>83</v>
      </c>
      <c r="D1" s="18" t="s">
        <v>84</v>
      </c>
      <c r="E1" s="19" t="s">
        <v>85</v>
      </c>
      <c r="F1" s="20" t="s">
        <v>86</v>
      </c>
      <c r="G1" s="21" t="s">
        <v>87</v>
      </c>
      <c r="H1" s="9"/>
      <c r="I1" s="11" t="s">
        <v>14</v>
      </c>
      <c r="J1" s="9">
        <f>SUMIFS(E2:E21,C2:C21,"East",B2:B21,"Laptop")</f>
        <v>31238</v>
      </c>
      <c r="K1" s="9"/>
      <c r="L1" s="9"/>
      <c r="M1" s="9"/>
      <c r="N1" s="9"/>
      <c r="O1" s="9"/>
      <c r="P1" s="9"/>
      <c r="Q1" s="9"/>
      <c r="R1" s="9"/>
      <c r="S1" s="9"/>
      <c r="T1" s="9"/>
      <c r="U1" s="9"/>
      <c r="V1" s="9"/>
      <c r="W1" s="9"/>
      <c r="X1" s="9"/>
      <c r="Y1" s="9"/>
      <c r="Z1" s="9"/>
    </row>
    <row r="2" spans="1:26">
      <c r="A2" s="6">
        <v>2001</v>
      </c>
      <c r="B2" s="6" t="s">
        <v>88</v>
      </c>
      <c r="C2" s="6" t="s">
        <v>89</v>
      </c>
      <c r="D2" s="6" t="s">
        <v>90</v>
      </c>
      <c r="E2" s="7">
        <v>7048</v>
      </c>
      <c r="F2" s="8">
        <v>44927</v>
      </c>
      <c r="G2" s="22" t="str">
        <f t="shared" ref="G2:G21" si="0">IF(E2&gt;30000,50%,IF(E2&gt;20000,25%,IF(E2&gt;10000,10%,"No Bonos")))</f>
        <v>No Bonos</v>
      </c>
      <c r="H2" s="9"/>
      <c r="I2" s="9"/>
      <c r="J2" s="9"/>
      <c r="K2" s="9"/>
      <c r="L2" s="9"/>
      <c r="M2" s="9"/>
      <c r="N2" s="9"/>
      <c r="O2" s="9"/>
      <c r="P2" s="9"/>
      <c r="Q2" s="9"/>
      <c r="R2" s="9"/>
      <c r="S2" s="9"/>
      <c r="T2" s="9"/>
      <c r="U2" s="9"/>
      <c r="V2" s="9"/>
      <c r="W2" s="9"/>
      <c r="X2" s="9"/>
      <c r="Y2" s="9"/>
      <c r="Z2" s="9"/>
    </row>
    <row r="3" spans="1:26">
      <c r="A3" s="6">
        <v>2002</v>
      </c>
      <c r="B3" s="6" t="s">
        <v>91</v>
      </c>
      <c r="C3" s="6" t="s">
        <v>92</v>
      </c>
      <c r="D3" s="6" t="s">
        <v>93</v>
      </c>
      <c r="E3" s="7">
        <v>17428</v>
      </c>
      <c r="F3" s="8">
        <v>44942</v>
      </c>
      <c r="G3" s="22">
        <f t="shared" si="0"/>
        <v>0.1</v>
      </c>
      <c r="H3" s="9"/>
      <c r="I3" s="11" t="s">
        <v>94</v>
      </c>
      <c r="J3" s="12" t="s">
        <v>95</v>
      </c>
      <c r="K3" s="9"/>
      <c r="L3" s="9"/>
      <c r="M3" s="9"/>
      <c r="N3" s="9"/>
      <c r="O3" s="9"/>
      <c r="P3" s="9"/>
      <c r="Q3" s="9"/>
      <c r="R3" s="9"/>
      <c r="S3" s="9"/>
      <c r="T3" s="9"/>
      <c r="U3" s="9"/>
      <c r="V3" s="9"/>
      <c r="W3" s="9"/>
      <c r="X3" s="9"/>
      <c r="Y3" s="9"/>
      <c r="Z3" s="9"/>
    </row>
    <row r="4" spans="1:26">
      <c r="A4" s="6">
        <v>2003</v>
      </c>
      <c r="B4" s="6" t="s">
        <v>96</v>
      </c>
      <c r="C4" s="6" t="s">
        <v>89</v>
      </c>
      <c r="D4" s="6" t="s">
        <v>97</v>
      </c>
      <c r="E4" s="7">
        <v>23672</v>
      </c>
      <c r="F4" s="8">
        <v>44957</v>
      </c>
      <c r="G4" s="22">
        <f t="shared" si="0"/>
        <v>0.25</v>
      </c>
      <c r="H4" s="9"/>
      <c r="I4" s="9">
        <v>2002</v>
      </c>
      <c r="J4" s="10">
        <f>VLOOKUP(I4,A1:F21,5,0)</f>
        <v>17428</v>
      </c>
      <c r="K4" s="9"/>
      <c r="L4" s="9"/>
      <c r="M4" s="23" t="s">
        <v>98</v>
      </c>
      <c r="N4" s="9"/>
      <c r="O4" s="23" t="s">
        <v>99</v>
      </c>
      <c r="P4" s="9"/>
      <c r="Q4" s="9"/>
      <c r="R4" s="9"/>
      <c r="S4" s="9"/>
      <c r="T4" s="9"/>
      <c r="U4" s="9"/>
      <c r="V4" s="9"/>
      <c r="W4" s="9"/>
      <c r="X4" s="9"/>
      <c r="Y4" s="9"/>
      <c r="Z4" s="9"/>
    </row>
    <row r="5" spans="1:26">
      <c r="A5" s="6">
        <v>2004</v>
      </c>
      <c r="B5" s="6" t="s">
        <v>91</v>
      </c>
      <c r="C5" s="6" t="s">
        <v>100</v>
      </c>
      <c r="D5" s="6" t="s">
        <v>101</v>
      </c>
      <c r="E5" s="7">
        <v>5264</v>
      </c>
      <c r="F5" s="8">
        <v>44972</v>
      </c>
      <c r="G5" s="22" t="str">
        <f t="shared" si="0"/>
        <v>No Bonos</v>
      </c>
      <c r="H5" s="9"/>
      <c r="I5" s="9"/>
      <c r="J5" s="9"/>
      <c r="K5" s="9"/>
      <c r="L5" s="9"/>
      <c r="M5" s="24" t="s">
        <v>102</v>
      </c>
      <c r="N5" s="9"/>
      <c r="O5" s="25">
        <f ca="1">SUM(Sales_Amount)</f>
        <v>507725</v>
      </c>
      <c r="P5" s="9"/>
      <c r="Q5" s="9"/>
      <c r="R5" s="9"/>
      <c r="S5" s="9"/>
      <c r="T5" s="9"/>
      <c r="U5" s="9"/>
      <c r="V5" s="9"/>
      <c r="W5" s="9"/>
      <c r="X5" s="9"/>
      <c r="Y5" s="9"/>
      <c r="Z5" s="9"/>
    </row>
    <row r="6" spans="1:26">
      <c r="A6" s="6">
        <v>2005</v>
      </c>
      <c r="B6" s="6" t="s">
        <v>88</v>
      </c>
      <c r="C6" s="6" t="s">
        <v>103</v>
      </c>
      <c r="D6" s="6" t="s">
        <v>104</v>
      </c>
      <c r="E6" s="7">
        <v>43388</v>
      </c>
      <c r="F6" s="8">
        <v>44987</v>
      </c>
      <c r="G6" s="22">
        <f t="shared" si="0"/>
        <v>0.5</v>
      </c>
      <c r="H6" s="9"/>
      <c r="I6" s="28"/>
      <c r="J6" s="9"/>
      <c r="K6" s="9"/>
      <c r="L6" s="9"/>
      <c r="M6" s="9"/>
      <c r="N6" s="9"/>
      <c r="O6" s="9"/>
      <c r="P6" s="9"/>
      <c r="Q6" s="9"/>
      <c r="R6" s="9"/>
      <c r="S6" s="9"/>
      <c r="T6" s="9"/>
      <c r="U6" s="9"/>
      <c r="V6" s="9"/>
      <c r="W6" s="9"/>
      <c r="X6" s="9"/>
      <c r="Y6" s="9"/>
      <c r="Z6" s="9"/>
    </row>
    <row r="7" spans="1:26">
      <c r="A7" s="6">
        <v>2006</v>
      </c>
      <c r="B7" s="6" t="s">
        <v>96</v>
      </c>
      <c r="C7" s="6" t="s">
        <v>103</v>
      </c>
      <c r="D7" s="6" t="s">
        <v>105</v>
      </c>
      <c r="E7" s="7">
        <v>19757</v>
      </c>
      <c r="F7" s="8">
        <v>45002</v>
      </c>
      <c r="G7" s="22">
        <f t="shared" si="0"/>
        <v>0.1</v>
      </c>
      <c r="H7" s="9"/>
      <c r="I7" s="9"/>
      <c r="J7" s="9"/>
      <c r="K7" s="9"/>
      <c r="L7" s="9"/>
      <c r="M7" s="26" t="s">
        <v>106</v>
      </c>
      <c r="N7" s="9"/>
      <c r="O7" s="25">
        <f ca="1">AVERAGE(Sales_Amount)</f>
        <v>25386.25</v>
      </c>
      <c r="P7" s="9"/>
      <c r="Q7" s="9"/>
      <c r="R7" s="9"/>
      <c r="S7" s="9"/>
      <c r="T7" s="9"/>
      <c r="U7" s="9"/>
      <c r="V7" s="9"/>
      <c r="W7" s="9"/>
      <c r="X7" s="9"/>
      <c r="Y7" s="9"/>
      <c r="Z7" s="9"/>
    </row>
    <row r="8" spans="1:26">
      <c r="A8" s="6">
        <v>2007</v>
      </c>
      <c r="B8" s="6" t="s">
        <v>96</v>
      </c>
      <c r="C8" s="6" t="s">
        <v>100</v>
      </c>
      <c r="D8" s="6" t="s">
        <v>107</v>
      </c>
      <c r="E8" s="7">
        <v>32058</v>
      </c>
      <c r="F8" s="8">
        <v>45017</v>
      </c>
      <c r="G8" s="22">
        <f t="shared" si="0"/>
        <v>0.5</v>
      </c>
      <c r="I8" s="11" t="s">
        <v>82</v>
      </c>
      <c r="J8" s="9" t="s">
        <v>108</v>
      </c>
      <c r="K8" s="9"/>
      <c r="L8" s="9"/>
      <c r="M8" s="9"/>
      <c r="N8" s="9"/>
      <c r="O8" s="9"/>
      <c r="P8" s="9"/>
      <c r="Q8" s="9"/>
      <c r="R8" s="9"/>
      <c r="S8" s="9"/>
      <c r="T8" s="9"/>
      <c r="U8" s="9"/>
      <c r="V8" s="9"/>
      <c r="W8" s="9"/>
      <c r="X8" s="9"/>
      <c r="Y8" s="9"/>
      <c r="Z8" s="9"/>
    </row>
    <row r="9" spans="1:26">
      <c r="A9" s="6">
        <v>2008</v>
      </c>
      <c r="B9" s="6" t="s">
        <v>88</v>
      </c>
      <c r="C9" s="6" t="s">
        <v>100</v>
      </c>
      <c r="D9" s="6" t="s">
        <v>109</v>
      </c>
      <c r="E9" s="7">
        <v>46429</v>
      </c>
      <c r="F9" s="8">
        <v>45032</v>
      </c>
      <c r="G9" s="22">
        <f t="shared" si="0"/>
        <v>0.5</v>
      </c>
      <c r="H9" s="9"/>
      <c r="I9" s="9" t="s">
        <v>91</v>
      </c>
      <c r="J9" s="9">
        <f>_xlfn.XMATCH(I9,B2:B21,0,1)</f>
        <v>2</v>
      </c>
      <c r="K9" s="9"/>
      <c r="L9" s="9"/>
      <c r="M9" s="24" t="s">
        <v>110</v>
      </c>
      <c r="N9" s="9"/>
      <c r="O9" s="27">
        <f ca="1">COUNTA(Sales_Amount)</f>
        <v>20</v>
      </c>
      <c r="P9" s="9"/>
      <c r="Q9" s="9"/>
      <c r="R9" s="9"/>
      <c r="S9" s="9"/>
      <c r="T9" s="9"/>
      <c r="U9" s="9"/>
      <c r="V9" s="9"/>
      <c r="W9" s="9"/>
      <c r="X9" s="9"/>
      <c r="Y9" s="9"/>
      <c r="Z9" s="9"/>
    </row>
    <row r="10" spans="1:26">
      <c r="A10" s="6">
        <v>2009</v>
      </c>
      <c r="B10" s="6" t="s">
        <v>91</v>
      </c>
      <c r="C10" s="6" t="s">
        <v>100</v>
      </c>
      <c r="D10" s="6" t="s">
        <v>111</v>
      </c>
      <c r="E10" s="7">
        <v>19746</v>
      </c>
      <c r="F10" s="8">
        <v>45047</v>
      </c>
      <c r="G10" s="22">
        <f t="shared" si="0"/>
        <v>0.1</v>
      </c>
      <c r="H10" s="9"/>
      <c r="I10" s="9"/>
      <c r="J10" s="9"/>
      <c r="K10" s="9"/>
      <c r="L10" s="9"/>
      <c r="M10" s="9"/>
      <c r="N10" s="9"/>
      <c r="O10" s="9"/>
      <c r="P10" s="9"/>
      <c r="Q10" s="9"/>
      <c r="R10" s="9"/>
      <c r="S10" s="9"/>
      <c r="T10" s="9"/>
      <c r="U10" s="9"/>
      <c r="V10" s="9"/>
      <c r="W10" s="9"/>
      <c r="X10" s="9"/>
      <c r="Y10" s="9"/>
      <c r="Z10" s="9"/>
    </row>
    <row r="11" spans="1:26">
      <c r="A11" s="6">
        <v>2010</v>
      </c>
      <c r="B11" s="6" t="s">
        <v>88</v>
      </c>
      <c r="C11" s="6" t="s">
        <v>89</v>
      </c>
      <c r="D11" s="6" t="s">
        <v>112</v>
      </c>
      <c r="E11" s="7">
        <v>35185</v>
      </c>
      <c r="F11" s="8">
        <v>45062</v>
      </c>
      <c r="G11" s="22">
        <f t="shared" si="0"/>
        <v>0.5</v>
      </c>
      <c r="H11" s="9"/>
      <c r="I11" t="s">
        <v>113</v>
      </c>
      <c r="J11" t="s">
        <v>114</v>
      </c>
      <c r="K11" s="9"/>
      <c r="L11" s="9"/>
      <c r="M11" s="9"/>
      <c r="N11" s="9"/>
      <c r="O11" s="9"/>
      <c r="P11" s="9"/>
      <c r="Q11" s="9"/>
      <c r="R11" s="9"/>
      <c r="S11" s="9"/>
      <c r="T11" s="9"/>
      <c r="U11" s="9"/>
      <c r="V11" s="9"/>
      <c r="W11" s="9"/>
      <c r="X11" s="9"/>
      <c r="Y11" s="9"/>
      <c r="Z11" s="9"/>
    </row>
    <row r="12" spans="1:26">
      <c r="A12" s="6">
        <v>2011</v>
      </c>
      <c r="B12" s="6" t="s">
        <v>88</v>
      </c>
      <c r="C12" s="6" t="s">
        <v>100</v>
      </c>
      <c r="D12" s="6" t="s">
        <v>115</v>
      </c>
      <c r="E12" s="7">
        <v>33920</v>
      </c>
      <c r="F12" s="8">
        <v>45077</v>
      </c>
      <c r="G12" s="22">
        <f t="shared" si="0"/>
        <v>0.5</v>
      </c>
      <c r="H12" s="9"/>
      <c r="I12" s="29" t="s">
        <v>116</v>
      </c>
      <c r="J12" s="30">
        <v>0.5</v>
      </c>
      <c r="K12" s="9"/>
      <c r="L12" s="9"/>
      <c r="M12" s="9"/>
      <c r="N12" s="9"/>
      <c r="O12" s="9"/>
      <c r="P12" s="9"/>
      <c r="Q12" s="9"/>
      <c r="R12" s="9"/>
      <c r="S12" s="9"/>
      <c r="T12" s="9"/>
      <c r="U12" s="9"/>
      <c r="V12" s="9"/>
      <c r="W12" s="9"/>
      <c r="X12" s="9"/>
      <c r="Y12" s="9"/>
      <c r="Z12" s="9"/>
    </row>
    <row r="13" spans="1:26">
      <c r="A13" s="6">
        <v>2012</v>
      </c>
      <c r="B13" s="6" t="s">
        <v>117</v>
      </c>
      <c r="C13" s="6" t="s">
        <v>103</v>
      </c>
      <c r="D13" s="6" t="s">
        <v>118</v>
      </c>
      <c r="E13" s="7">
        <v>35611</v>
      </c>
      <c r="F13" s="8">
        <v>45092</v>
      </c>
      <c r="G13" s="22">
        <f t="shared" si="0"/>
        <v>0.5</v>
      </c>
      <c r="H13" s="9"/>
      <c r="I13" s="29" t="s">
        <v>119</v>
      </c>
      <c r="J13" s="31">
        <v>0.25</v>
      </c>
      <c r="K13" s="9"/>
      <c r="L13" s="9"/>
      <c r="M13" s="9"/>
      <c r="N13" s="9"/>
      <c r="O13" s="9"/>
      <c r="P13" s="9"/>
      <c r="Q13" s="9"/>
      <c r="R13" s="9"/>
      <c r="S13" s="9"/>
      <c r="T13" s="9"/>
      <c r="U13" s="9"/>
      <c r="V13" s="9"/>
      <c r="W13" s="9"/>
      <c r="X13" s="9"/>
      <c r="Y13" s="9"/>
      <c r="Z13" s="9"/>
    </row>
    <row r="14" spans="1:26">
      <c r="A14" s="6">
        <v>2013</v>
      </c>
      <c r="B14" s="6" t="s">
        <v>120</v>
      </c>
      <c r="C14" s="6" t="s">
        <v>100</v>
      </c>
      <c r="D14" s="6" t="s">
        <v>121</v>
      </c>
      <c r="E14" s="7">
        <v>15560</v>
      </c>
      <c r="F14" s="8">
        <v>45107</v>
      </c>
      <c r="G14" s="22">
        <f t="shared" si="0"/>
        <v>0.1</v>
      </c>
      <c r="H14" s="9"/>
      <c r="I14" s="29" t="s">
        <v>122</v>
      </c>
      <c r="J14" s="30">
        <v>0.1</v>
      </c>
      <c r="K14" s="9"/>
      <c r="L14" s="9"/>
      <c r="M14" s="9"/>
      <c r="N14" s="9"/>
      <c r="O14" s="9"/>
      <c r="P14" s="9"/>
      <c r="Q14" s="9"/>
      <c r="R14" s="9"/>
      <c r="S14" s="9"/>
      <c r="T14" s="9"/>
      <c r="U14" s="9"/>
      <c r="V14" s="9"/>
      <c r="W14" s="9"/>
      <c r="X14" s="9"/>
      <c r="Y14" s="9"/>
      <c r="Z14" s="9"/>
    </row>
    <row r="15" spans="1:26">
      <c r="A15" s="6">
        <v>2014</v>
      </c>
      <c r="B15" s="6" t="s">
        <v>120</v>
      </c>
      <c r="C15" s="6" t="s">
        <v>89</v>
      </c>
      <c r="D15" s="6" t="s">
        <v>123</v>
      </c>
      <c r="E15" s="7">
        <v>7283</v>
      </c>
      <c r="F15" s="8">
        <v>45122</v>
      </c>
      <c r="G15" s="22" t="str">
        <f t="shared" si="0"/>
        <v>No Bonos</v>
      </c>
      <c r="H15" s="9"/>
      <c r="I15" s="29" t="s">
        <v>124</v>
      </c>
      <c r="J15" s="32" t="s">
        <v>125</v>
      </c>
      <c r="K15" s="9"/>
      <c r="L15" s="9"/>
      <c r="M15" s="9"/>
      <c r="N15" s="9"/>
      <c r="O15" s="9"/>
      <c r="P15" s="9"/>
      <c r="Q15" s="9"/>
      <c r="R15" s="9"/>
      <c r="S15" s="9"/>
      <c r="T15" s="9"/>
      <c r="U15" s="9"/>
      <c r="V15" s="9"/>
      <c r="W15" s="9"/>
      <c r="X15" s="9"/>
      <c r="Y15" s="9"/>
      <c r="Z15" s="9"/>
    </row>
    <row r="16" spans="1:26">
      <c r="A16" s="6">
        <v>2015</v>
      </c>
      <c r="B16" s="6" t="s">
        <v>120</v>
      </c>
      <c r="C16" s="6" t="s">
        <v>100</v>
      </c>
      <c r="D16" s="6" t="s">
        <v>126</v>
      </c>
      <c r="E16" s="7">
        <v>15678</v>
      </c>
      <c r="F16" s="8">
        <v>45137</v>
      </c>
      <c r="G16" s="22">
        <f t="shared" si="0"/>
        <v>0.1</v>
      </c>
      <c r="H16" s="9"/>
      <c r="I16" t="s">
        <v>75</v>
      </c>
      <c r="J16">
        <f>SUBTOTAL(103,Table3[Bonus Rate])</f>
        <v>4</v>
      </c>
      <c r="K16" s="9"/>
      <c r="L16" s="9"/>
      <c r="M16" s="9"/>
      <c r="N16" s="9"/>
      <c r="O16" s="9"/>
      <c r="P16" s="9"/>
      <c r="Q16" s="9"/>
      <c r="R16" s="9"/>
      <c r="S16" s="9"/>
      <c r="T16" s="9"/>
      <c r="U16" s="9"/>
      <c r="V16" s="9"/>
      <c r="W16" s="9"/>
      <c r="X16" s="9"/>
      <c r="Y16" s="9"/>
      <c r="Z16" s="9"/>
    </row>
    <row r="17" spans="1:26">
      <c r="A17" s="6">
        <v>2016</v>
      </c>
      <c r="B17" s="6" t="s">
        <v>96</v>
      </c>
      <c r="C17" s="6" t="s">
        <v>100</v>
      </c>
      <c r="D17" s="6" t="s">
        <v>127</v>
      </c>
      <c r="E17" s="7">
        <v>5277</v>
      </c>
      <c r="F17" s="8">
        <v>45152</v>
      </c>
      <c r="G17" s="22" t="str">
        <f t="shared" si="0"/>
        <v>No Bonos</v>
      </c>
      <c r="H17" s="9"/>
      <c r="I17" s="9"/>
      <c r="J17" s="9"/>
      <c r="K17" s="9"/>
      <c r="L17" s="9"/>
      <c r="M17" s="9"/>
      <c r="N17" s="9"/>
      <c r="O17" s="9"/>
      <c r="P17" s="9"/>
      <c r="Q17" s="9"/>
      <c r="R17" s="9"/>
      <c r="S17" s="9"/>
      <c r="T17" s="9"/>
      <c r="U17" s="9"/>
      <c r="V17" s="9"/>
      <c r="W17" s="9"/>
      <c r="X17" s="9"/>
      <c r="Y17" s="9"/>
      <c r="Z17" s="9"/>
    </row>
    <row r="18" spans="1:26">
      <c r="A18" s="6">
        <v>2017</v>
      </c>
      <c r="B18" s="6" t="s">
        <v>117</v>
      </c>
      <c r="C18" s="6" t="s">
        <v>103</v>
      </c>
      <c r="D18" s="6" t="s">
        <v>128</v>
      </c>
      <c r="E18" s="7">
        <v>41871</v>
      </c>
      <c r="F18" s="8">
        <v>45167</v>
      </c>
      <c r="G18" s="22">
        <f t="shared" si="0"/>
        <v>0.5</v>
      </c>
      <c r="H18" s="9"/>
      <c r="I18" s="9"/>
      <c r="J18" s="9"/>
      <c r="K18" s="9"/>
      <c r="L18" s="9"/>
      <c r="M18" s="9"/>
      <c r="N18" s="9"/>
      <c r="O18" s="9"/>
      <c r="P18" s="9"/>
      <c r="Q18" s="9"/>
      <c r="R18" s="9"/>
      <c r="S18" s="9"/>
      <c r="T18" s="9"/>
      <c r="U18" s="9"/>
      <c r="V18" s="9"/>
      <c r="W18" s="9"/>
      <c r="X18" s="9"/>
      <c r="Y18" s="9"/>
      <c r="Z18" s="9"/>
    </row>
    <row r="19" spans="1:26">
      <c r="A19" s="6">
        <v>2018</v>
      </c>
      <c r="B19" s="6" t="s">
        <v>117</v>
      </c>
      <c r="C19" s="6" t="s">
        <v>92</v>
      </c>
      <c r="D19" s="6" t="s">
        <v>129</v>
      </c>
      <c r="E19" s="7">
        <v>38161</v>
      </c>
      <c r="F19" s="8">
        <v>45182</v>
      </c>
      <c r="G19" s="22">
        <f t="shared" si="0"/>
        <v>0.5</v>
      </c>
      <c r="H19" s="9"/>
      <c r="I19" s="9"/>
      <c r="J19" s="9"/>
      <c r="K19" s="9"/>
      <c r="L19" s="9"/>
      <c r="M19" s="9"/>
      <c r="N19" s="9"/>
      <c r="O19" s="9"/>
      <c r="P19" s="9"/>
      <c r="Q19" s="9"/>
      <c r="R19" s="9"/>
      <c r="S19" s="9"/>
      <c r="T19" s="9"/>
      <c r="U19" s="9"/>
      <c r="V19" s="9"/>
      <c r="W19" s="9"/>
      <c r="X19" s="9"/>
      <c r="Y19" s="9"/>
      <c r="Z19" s="9"/>
    </row>
    <row r="20" spans="1:26">
      <c r="A20" s="6">
        <v>2019</v>
      </c>
      <c r="B20" s="6" t="s">
        <v>96</v>
      </c>
      <c r="C20" s="6" t="s">
        <v>92</v>
      </c>
      <c r="D20" s="6" t="s">
        <v>130</v>
      </c>
      <c r="E20" s="7">
        <v>30436</v>
      </c>
      <c r="F20" s="8">
        <v>45197</v>
      </c>
      <c r="G20" s="22">
        <f t="shared" si="0"/>
        <v>0.5</v>
      </c>
      <c r="H20" s="9"/>
      <c r="I20" s="9"/>
      <c r="J20" s="9"/>
      <c r="K20" s="9"/>
      <c r="L20" s="9"/>
      <c r="M20" s="9"/>
      <c r="N20" s="9"/>
      <c r="O20" s="9"/>
      <c r="P20" s="9"/>
      <c r="Q20" s="9"/>
      <c r="R20" s="9"/>
      <c r="S20" s="9"/>
      <c r="T20" s="9"/>
      <c r="U20" s="9"/>
      <c r="V20" s="9"/>
      <c r="W20" s="9"/>
      <c r="X20" s="9"/>
      <c r="Y20" s="9"/>
      <c r="Z20" s="9"/>
    </row>
    <row r="21" ht="15.75" customHeight="1" spans="1:26">
      <c r="A21" s="6">
        <v>2020</v>
      </c>
      <c r="B21" s="6" t="s">
        <v>91</v>
      </c>
      <c r="C21" s="6" t="s">
        <v>92</v>
      </c>
      <c r="D21" s="6" t="s">
        <v>131</v>
      </c>
      <c r="E21" s="7">
        <v>33953</v>
      </c>
      <c r="F21" s="8">
        <v>45212</v>
      </c>
      <c r="G21" s="22">
        <f t="shared" si="0"/>
        <v>0.5</v>
      </c>
      <c r="H21" s="9"/>
      <c r="I21" s="9"/>
      <c r="J21" s="9"/>
      <c r="K21" s="9"/>
      <c r="L21" s="9"/>
      <c r="M21" s="9"/>
      <c r="N21" s="9"/>
      <c r="O21" s="9"/>
      <c r="P21" s="9"/>
      <c r="Q21" s="9"/>
      <c r="R21" s="9"/>
      <c r="S21" s="9"/>
      <c r="T21" s="9"/>
      <c r="U21" s="9"/>
      <c r="V21" s="9"/>
      <c r="W21" s="9"/>
      <c r="X21" s="9"/>
      <c r="Y21" s="9"/>
      <c r="Z21" s="9"/>
    </row>
    <row r="22" ht="15.75" customHeight="1" spans="1:26">
      <c r="A22" t="s">
        <v>75</v>
      </c>
      <c r="G22">
        <f>SUBTOTAL(103,Table2[Bonus])</f>
        <v>20</v>
      </c>
      <c r="H22" s="9"/>
      <c r="I22" s="9"/>
      <c r="J22" s="9"/>
      <c r="K22" s="9"/>
      <c r="L22" s="9"/>
      <c r="M22" s="9"/>
      <c r="N22" s="9"/>
      <c r="O22" s="9"/>
      <c r="P22" s="9"/>
      <c r="Q22" s="9"/>
      <c r="R22" s="9"/>
      <c r="S22" s="9"/>
      <c r="T22" s="9"/>
      <c r="U22" s="9"/>
      <c r="V22" s="9"/>
      <c r="W22" s="9"/>
      <c r="X22" s="9"/>
      <c r="Y22" s="9"/>
      <c r="Z22" s="9"/>
    </row>
    <row r="23" ht="15.75" customHeight="1" spans="1:26">
      <c r="A23" s="9"/>
      <c r="B23" s="9"/>
      <c r="C23" s="9"/>
      <c r="D23" s="9"/>
      <c r="E23" s="10"/>
      <c r="F23" s="9"/>
      <c r="G23" s="22"/>
      <c r="H23" s="9"/>
      <c r="I23" s="9"/>
      <c r="J23" s="9"/>
      <c r="K23" s="9"/>
      <c r="L23" s="9"/>
      <c r="M23" s="9"/>
      <c r="N23" s="9"/>
      <c r="O23" s="9"/>
      <c r="P23" s="9"/>
      <c r="Q23" s="9"/>
      <c r="R23" s="9"/>
      <c r="S23" s="9"/>
      <c r="T23" s="9"/>
      <c r="U23" s="9"/>
      <c r="V23" s="9"/>
      <c r="W23" s="9"/>
      <c r="X23" s="9"/>
      <c r="Y23" s="9"/>
      <c r="Z23" s="9"/>
    </row>
    <row r="24" ht="15.75" customHeight="1" spans="2:26">
      <c r="B24" s="9"/>
      <c r="C24" s="9"/>
      <c r="D24" s="9"/>
      <c r="E24" s="10"/>
      <c r="F24" s="9"/>
      <c r="G24" s="22"/>
      <c r="H24" s="9"/>
      <c r="I24" s="9"/>
      <c r="J24" s="9"/>
      <c r="K24" s="9"/>
      <c r="L24" s="9"/>
      <c r="M24" s="9"/>
      <c r="N24" s="9"/>
      <c r="O24" s="9"/>
      <c r="P24" s="9"/>
      <c r="Q24" s="9"/>
      <c r="R24" s="9"/>
      <c r="S24" s="9"/>
      <c r="T24" s="9"/>
      <c r="U24" s="9"/>
      <c r="V24" s="9"/>
      <c r="W24" s="9"/>
      <c r="X24" s="9"/>
      <c r="Y24" s="9"/>
      <c r="Z24" s="9"/>
    </row>
    <row r="25" ht="15.75" customHeight="1" spans="1:26">
      <c r="A25" s="23"/>
      <c r="B25" s="9"/>
      <c r="C25" s="23"/>
      <c r="D25" s="9"/>
      <c r="E25" s="10"/>
      <c r="F25" s="9"/>
      <c r="G25" s="22"/>
      <c r="H25" s="9"/>
      <c r="I25" s="9"/>
      <c r="J25" s="9"/>
      <c r="K25" s="9"/>
      <c r="L25" s="9"/>
      <c r="M25" s="9"/>
      <c r="N25" s="9"/>
      <c r="O25" s="9"/>
      <c r="P25" s="9"/>
      <c r="Q25" s="9"/>
      <c r="R25" s="9"/>
      <c r="S25" s="9"/>
      <c r="T25" s="9"/>
      <c r="U25" s="9"/>
      <c r="V25" s="9"/>
      <c r="W25" s="9"/>
      <c r="X25" s="9"/>
      <c r="Y25" s="9"/>
      <c r="Z25" s="9"/>
    </row>
    <row r="26" ht="15.75" customHeight="1" spans="1:26">
      <c r="A26" s="24"/>
      <c r="B26" s="9"/>
      <c r="C26" s="25"/>
      <c r="D26" s="9"/>
      <c r="E26" s="10"/>
      <c r="F26" s="9"/>
      <c r="G26" s="22"/>
      <c r="H26" s="9"/>
      <c r="I26" s="9"/>
      <c r="J26" s="9"/>
      <c r="K26" s="9"/>
      <c r="L26" s="9"/>
      <c r="M26" s="9"/>
      <c r="N26" s="9"/>
      <c r="O26" s="9"/>
      <c r="P26" s="9"/>
      <c r="Q26" s="9"/>
      <c r="R26" s="9"/>
      <c r="S26" s="9"/>
      <c r="T26" s="9"/>
      <c r="U26" s="9"/>
      <c r="V26" s="9"/>
      <c r="W26" s="9"/>
      <c r="X26" s="9"/>
      <c r="Y26" s="9"/>
      <c r="Z26" s="9"/>
    </row>
    <row r="27" ht="15.75" customHeight="1" spans="1:26">
      <c r="A27" s="9"/>
      <c r="B27" s="9"/>
      <c r="C27" s="9"/>
      <c r="D27" s="9"/>
      <c r="E27" s="10"/>
      <c r="F27" s="9"/>
      <c r="G27" s="22"/>
      <c r="H27" s="9"/>
      <c r="I27" s="9"/>
      <c r="J27" s="9"/>
      <c r="K27" s="9"/>
      <c r="L27" s="9"/>
      <c r="M27" s="9"/>
      <c r="N27" s="9"/>
      <c r="O27" s="9"/>
      <c r="P27" s="9"/>
      <c r="Q27" s="9"/>
      <c r="R27" s="9"/>
      <c r="S27" s="9"/>
      <c r="T27" s="9"/>
      <c r="U27" s="9"/>
      <c r="V27" s="9"/>
      <c r="W27" s="9"/>
      <c r="X27" s="9"/>
      <c r="Y27" s="9"/>
      <c r="Z27" s="9"/>
    </row>
    <row r="28" ht="15.75" customHeight="1" spans="1:26">
      <c r="A28" s="26"/>
      <c r="B28" s="9"/>
      <c r="C28" s="25"/>
      <c r="D28" s="9"/>
      <c r="E28" s="10"/>
      <c r="F28" s="9"/>
      <c r="G28" s="22"/>
      <c r="H28" s="9"/>
      <c r="I28" s="9"/>
      <c r="J28" s="9"/>
      <c r="K28" s="9"/>
      <c r="L28" s="9"/>
      <c r="M28" s="9"/>
      <c r="N28" s="9"/>
      <c r="O28" s="9"/>
      <c r="P28" s="9"/>
      <c r="Q28" s="9"/>
      <c r="R28" s="9"/>
      <c r="S28" s="9"/>
      <c r="T28" s="9"/>
      <c r="U28" s="9"/>
      <c r="V28" s="9"/>
      <c r="W28" s="9"/>
      <c r="X28" s="9"/>
      <c r="Y28" s="9"/>
      <c r="Z28" s="9"/>
    </row>
    <row r="29" ht="15.75" customHeight="1" spans="1:26">
      <c r="A29" s="9"/>
      <c r="B29" s="9"/>
      <c r="C29" s="9"/>
      <c r="D29" s="9"/>
      <c r="E29" s="10"/>
      <c r="F29" s="9"/>
      <c r="G29" s="22"/>
      <c r="H29" s="9"/>
      <c r="I29" s="9"/>
      <c r="J29" s="9"/>
      <c r="K29" s="9"/>
      <c r="L29" s="9"/>
      <c r="M29" s="9"/>
      <c r="N29" s="9"/>
      <c r="O29" s="9"/>
      <c r="P29" s="9"/>
      <c r="Q29" s="9"/>
      <c r="R29" s="9"/>
      <c r="S29" s="9"/>
      <c r="T29" s="9"/>
      <c r="U29" s="9"/>
      <c r="V29" s="9"/>
      <c r="W29" s="9"/>
      <c r="X29" s="9"/>
      <c r="Y29" s="9"/>
      <c r="Z29" s="9"/>
    </row>
    <row r="30" ht="15.75" customHeight="1" spans="1:26">
      <c r="A30" s="24"/>
      <c r="B30" s="9"/>
      <c r="C30" s="27"/>
      <c r="D30" s="9"/>
      <c r="E30" s="10"/>
      <c r="F30" s="9"/>
      <c r="G30" s="22"/>
      <c r="H30" s="9"/>
      <c r="I30" s="9"/>
      <c r="J30" s="9"/>
      <c r="K30" s="9"/>
      <c r="L30" s="9"/>
      <c r="M30" s="9"/>
      <c r="N30" s="9"/>
      <c r="O30" s="9"/>
      <c r="P30" s="9"/>
      <c r="Q30" s="9"/>
      <c r="R30" s="9"/>
      <c r="S30" s="9"/>
      <c r="T30" s="9"/>
      <c r="U30" s="9"/>
      <c r="V30" s="9"/>
      <c r="W30" s="9"/>
      <c r="X30" s="9"/>
      <c r="Y30" s="9"/>
      <c r="Z30" s="9"/>
    </row>
    <row r="31" ht="15.75" customHeight="1" spans="1:26">
      <c r="A31" s="9"/>
      <c r="B31" s="9"/>
      <c r="C31" s="9"/>
      <c r="D31" s="9"/>
      <c r="E31" s="10"/>
      <c r="F31" s="9"/>
      <c r="G31" s="22"/>
      <c r="H31" s="9"/>
      <c r="I31" s="9"/>
      <c r="J31" s="9"/>
      <c r="K31" s="9"/>
      <c r="L31" s="9"/>
      <c r="M31" s="9"/>
      <c r="N31" s="9"/>
      <c r="O31" s="9"/>
      <c r="P31" s="9"/>
      <c r="Q31" s="9"/>
      <c r="R31" s="9"/>
      <c r="S31" s="9"/>
      <c r="T31" s="9"/>
      <c r="U31" s="9"/>
      <c r="V31" s="9"/>
      <c r="W31" s="9"/>
      <c r="X31" s="9"/>
      <c r="Y31" s="9"/>
      <c r="Z31" s="9"/>
    </row>
    <row r="32" ht="15.75" customHeight="1" spans="1:26">
      <c r="A32" s="9"/>
      <c r="B32" s="9"/>
      <c r="C32" s="9"/>
      <c r="D32" s="9"/>
      <c r="E32" s="10"/>
      <c r="F32" s="9"/>
      <c r="G32" s="22"/>
      <c r="H32" s="9"/>
      <c r="I32" s="9"/>
      <c r="J32" s="9"/>
      <c r="K32" s="9"/>
      <c r="L32" s="9"/>
      <c r="M32" s="9"/>
      <c r="N32" s="9"/>
      <c r="O32" s="9"/>
      <c r="P32" s="9"/>
      <c r="Q32" s="9"/>
      <c r="R32" s="9"/>
      <c r="S32" s="9"/>
      <c r="T32" s="9"/>
      <c r="U32" s="9"/>
      <c r="V32" s="9"/>
      <c r="W32" s="9"/>
      <c r="X32" s="9"/>
      <c r="Y32" s="9"/>
      <c r="Z32" s="9"/>
    </row>
    <row r="33" ht="15.75" customHeight="1" spans="1:26">
      <c r="A33" s="9"/>
      <c r="B33" s="9"/>
      <c r="C33" s="9"/>
      <c r="D33" s="9"/>
      <c r="E33" s="10"/>
      <c r="F33" s="9"/>
      <c r="G33" s="22"/>
      <c r="H33" s="9"/>
      <c r="I33" s="9"/>
      <c r="J33" s="9"/>
      <c r="K33" s="9"/>
      <c r="L33" s="9"/>
      <c r="M33" s="9"/>
      <c r="N33" s="9"/>
      <c r="O33" s="9"/>
      <c r="P33" s="9"/>
      <c r="Q33" s="9"/>
      <c r="R33" s="9"/>
      <c r="S33" s="9"/>
      <c r="T33" s="9"/>
      <c r="U33" s="9"/>
      <c r="V33" s="9"/>
      <c r="W33" s="9"/>
      <c r="X33" s="9"/>
      <c r="Y33" s="9"/>
      <c r="Z33" s="9"/>
    </row>
    <row r="34" ht="15.75" customHeight="1" spans="1:26">
      <c r="A34" s="9"/>
      <c r="B34" s="9"/>
      <c r="C34" s="9"/>
      <c r="D34" s="9"/>
      <c r="E34" s="10"/>
      <c r="F34" s="9"/>
      <c r="G34" s="22"/>
      <c r="H34" s="9"/>
      <c r="I34" s="9"/>
      <c r="J34" s="9"/>
      <c r="K34" s="9"/>
      <c r="L34" s="9"/>
      <c r="M34" s="9"/>
      <c r="N34" s="9"/>
      <c r="O34" s="9"/>
      <c r="P34" s="9"/>
      <c r="Q34" s="9"/>
      <c r="R34" s="9"/>
      <c r="S34" s="9"/>
      <c r="T34" s="9"/>
      <c r="U34" s="9"/>
      <c r="V34" s="9"/>
      <c r="W34" s="9"/>
      <c r="X34" s="9"/>
      <c r="Y34" s="9"/>
      <c r="Z34" s="9"/>
    </row>
    <row r="35" ht="15.75" customHeight="1" spans="1:26">
      <c r="A35" s="9"/>
      <c r="B35" s="9"/>
      <c r="C35" s="9"/>
      <c r="D35" s="9"/>
      <c r="E35" s="10"/>
      <c r="F35" s="9"/>
      <c r="G35" s="22"/>
      <c r="H35" s="9"/>
      <c r="I35" s="9"/>
      <c r="J35" s="9"/>
      <c r="K35" s="9"/>
      <c r="L35" s="9"/>
      <c r="M35" s="9"/>
      <c r="N35" s="9"/>
      <c r="O35" s="9"/>
      <c r="P35" s="9"/>
      <c r="Q35" s="9"/>
      <c r="R35" s="9"/>
      <c r="S35" s="9"/>
      <c r="T35" s="9"/>
      <c r="U35" s="9"/>
      <c r="V35" s="9"/>
      <c r="W35" s="9"/>
      <c r="X35" s="9"/>
      <c r="Y35" s="9"/>
      <c r="Z35" s="9"/>
    </row>
    <row r="36" ht="15.75" customHeight="1" spans="1:26">
      <c r="A36" s="9"/>
      <c r="B36" s="9"/>
      <c r="C36" s="9"/>
      <c r="D36" s="9"/>
      <c r="E36" s="10"/>
      <c r="F36" s="9"/>
      <c r="G36" s="22"/>
      <c r="H36" s="9"/>
      <c r="I36" s="9"/>
      <c r="J36" s="9"/>
      <c r="K36" s="9"/>
      <c r="L36" s="9"/>
      <c r="M36" s="9"/>
      <c r="N36" s="9"/>
      <c r="O36" s="9"/>
      <c r="P36" s="9"/>
      <c r="Q36" s="9"/>
      <c r="R36" s="9"/>
      <c r="S36" s="9"/>
      <c r="T36" s="9"/>
      <c r="U36" s="9"/>
      <c r="V36" s="9"/>
      <c r="W36" s="9"/>
      <c r="X36" s="9"/>
      <c r="Y36" s="9"/>
      <c r="Z36" s="9"/>
    </row>
    <row r="37" ht="15.75" customHeight="1" spans="1:26">
      <c r="A37" s="9"/>
      <c r="B37" s="9"/>
      <c r="C37" s="9"/>
      <c r="D37" s="9"/>
      <c r="E37" s="10"/>
      <c r="F37" s="9"/>
      <c r="G37" s="22"/>
      <c r="H37" s="9"/>
      <c r="I37" s="9"/>
      <c r="J37" s="9"/>
      <c r="K37" s="9"/>
      <c r="L37" s="9"/>
      <c r="M37" s="9"/>
      <c r="N37" s="9"/>
      <c r="O37" s="9"/>
      <c r="P37" s="9"/>
      <c r="Q37" s="9"/>
      <c r="R37" s="9"/>
      <c r="S37" s="9"/>
      <c r="T37" s="9"/>
      <c r="U37" s="9"/>
      <c r="V37" s="9"/>
      <c r="W37" s="9"/>
      <c r="X37" s="9"/>
      <c r="Y37" s="9"/>
      <c r="Z37" s="9"/>
    </row>
    <row r="38" ht="15.75" customHeight="1" spans="1:26">
      <c r="A38" s="9"/>
      <c r="B38" s="9"/>
      <c r="C38" s="9"/>
      <c r="D38" s="9"/>
      <c r="E38" s="10"/>
      <c r="F38" s="9"/>
      <c r="G38" s="22"/>
      <c r="H38" s="9"/>
      <c r="I38" s="9"/>
      <c r="J38" s="9"/>
      <c r="K38" s="9"/>
      <c r="L38" s="9"/>
      <c r="M38" s="9"/>
      <c r="N38" s="9"/>
      <c r="O38" s="9"/>
      <c r="P38" s="9"/>
      <c r="Q38" s="9"/>
      <c r="R38" s="9"/>
      <c r="S38" s="9"/>
      <c r="T38" s="9"/>
      <c r="U38" s="9"/>
      <c r="V38" s="9"/>
      <c r="W38" s="9"/>
      <c r="X38" s="9"/>
      <c r="Y38" s="9"/>
      <c r="Z38" s="9"/>
    </row>
    <row r="39" ht="15.75" customHeight="1" spans="1:26">
      <c r="A39" s="9"/>
      <c r="B39" s="9"/>
      <c r="C39" s="9"/>
      <c r="D39" s="9"/>
      <c r="E39" s="10"/>
      <c r="F39" s="9"/>
      <c r="G39" s="22"/>
      <c r="H39" s="9"/>
      <c r="I39" s="9"/>
      <c r="J39" s="9"/>
      <c r="K39" s="9"/>
      <c r="L39" s="9"/>
      <c r="M39" s="9"/>
      <c r="N39" s="9"/>
      <c r="O39" s="9"/>
      <c r="P39" s="9"/>
      <c r="Q39" s="9"/>
      <c r="R39" s="9"/>
      <c r="S39" s="9"/>
      <c r="T39" s="9"/>
      <c r="U39" s="9"/>
      <c r="V39" s="9"/>
      <c r="W39" s="9"/>
      <c r="X39" s="9"/>
      <c r="Y39" s="9"/>
      <c r="Z39" s="9"/>
    </row>
    <row r="40" ht="15.75" customHeight="1" spans="1:26">
      <c r="A40" s="9"/>
      <c r="B40" s="9"/>
      <c r="C40" s="9"/>
      <c r="D40" s="9"/>
      <c r="E40" s="10"/>
      <c r="F40" s="9"/>
      <c r="G40" s="22"/>
      <c r="H40" s="9"/>
      <c r="I40" s="9"/>
      <c r="J40" s="9"/>
      <c r="K40" s="9"/>
      <c r="L40" s="9"/>
      <c r="M40" s="9"/>
      <c r="N40" s="9"/>
      <c r="O40" s="9"/>
      <c r="P40" s="9"/>
      <c r="Q40" s="9"/>
      <c r="R40" s="9"/>
      <c r="S40" s="9"/>
      <c r="T40" s="9"/>
      <c r="U40" s="9"/>
      <c r="V40" s="9"/>
      <c r="W40" s="9"/>
      <c r="X40" s="9"/>
      <c r="Y40" s="9"/>
      <c r="Z40" s="9"/>
    </row>
    <row r="41" ht="15.75" customHeight="1" spans="1:26">
      <c r="A41" s="9"/>
      <c r="B41" s="9"/>
      <c r="C41" s="9"/>
      <c r="D41" s="9"/>
      <c r="E41" s="10"/>
      <c r="F41" s="9"/>
      <c r="G41" s="22"/>
      <c r="H41" s="9"/>
      <c r="I41" s="9"/>
      <c r="J41" s="9"/>
      <c r="K41" s="9"/>
      <c r="L41" s="9"/>
      <c r="M41" s="9"/>
      <c r="N41" s="9"/>
      <c r="O41" s="9"/>
      <c r="P41" s="9"/>
      <c r="Q41" s="9"/>
      <c r="R41" s="9"/>
      <c r="S41" s="9"/>
      <c r="T41" s="9"/>
      <c r="U41" s="9"/>
      <c r="V41" s="9"/>
      <c r="W41" s="9"/>
      <c r="X41" s="9"/>
      <c r="Y41" s="9"/>
      <c r="Z41" s="9"/>
    </row>
    <row r="42" ht="15.75" customHeight="1" spans="1:26">
      <c r="A42" s="9"/>
      <c r="B42" s="9"/>
      <c r="C42" s="9"/>
      <c r="D42" s="9"/>
      <c r="E42" s="10"/>
      <c r="F42" s="9"/>
      <c r="G42" s="22"/>
      <c r="H42" s="9"/>
      <c r="I42" s="9"/>
      <c r="J42" s="9"/>
      <c r="K42" s="9"/>
      <c r="L42" s="9"/>
      <c r="M42" s="9"/>
      <c r="N42" s="9"/>
      <c r="O42" s="9"/>
      <c r="P42" s="9"/>
      <c r="Q42" s="9"/>
      <c r="R42" s="9"/>
      <c r="S42" s="9"/>
      <c r="T42" s="9"/>
      <c r="U42" s="9"/>
      <c r="V42" s="9"/>
      <c r="W42" s="9"/>
      <c r="X42" s="9"/>
      <c r="Y42" s="9"/>
      <c r="Z42" s="9"/>
    </row>
    <row r="43" ht="15.75" customHeight="1" spans="1:26">
      <c r="A43" s="9"/>
      <c r="B43" s="9"/>
      <c r="C43" s="9"/>
      <c r="D43" s="9"/>
      <c r="E43" s="10"/>
      <c r="F43" s="9"/>
      <c r="G43" s="22"/>
      <c r="H43" s="9"/>
      <c r="I43" s="9"/>
      <c r="J43" s="9"/>
      <c r="K43" s="9"/>
      <c r="L43" s="9"/>
      <c r="M43" s="9"/>
      <c r="N43" s="9"/>
      <c r="O43" s="9"/>
      <c r="P43" s="9"/>
      <c r="Q43" s="9"/>
      <c r="R43" s="9"/>
      <c r="S43" s="9"/>
      <c r="T43" s="9"/>
      <c r="U43" s="9"/>
      <c r="V43" s="9"/>
      <c r="W43" s="9"/>
      <c r="X43" s="9"/>
      <c r="Y43" s="9"/>
      <c r="Z43" s="9"/>
    </row>
    <row r="44" ht="15.75" customHeight="1" spans="1:26">
      <c r="A44" s="9"/>
      <c r="B44" s="9"/>
      <c r="C44" s="9"/>
      <c r="D44" s="9"/>
      <c r="E44" s="10"/>
      <c r="F44" s="9"/>
      <c r="G44" s="22"/>
      <c r="H44" s="9"/>
      <c r="I44" s="9"/>
      <c r="J44" s="9"/>
      <c r="K44" s="9"/>
      <c r="L44" s="9"/>
      <c r="M44" s="9"/>
      <c r="N44" s="9"/>
      <c r="O44" s="9"/>
      <c r="P44" s="9"/>
      <c r="Q44" s="9"/>
      <c r="R44" s="9"/>
      <c r="S44" s="9"/>
      <c r="T44" s="9"/>
      <c r="U44" s="9"/>
      <c r="V44" s="9"/>
      <c r="W44" s="9"/>
      <c r="X44" s="9"/>
      <c r="Y44" s="9"/>
      <c r="Z44" s="9"/>
    </row>
    <row r="45" ht="15.75" customHeight="1" spans="1:26">
      <c r="A45" s="9"/>
      <c r="B45" s="9"/>
      <c r="C45" s="9"/>
      <c r="D45" s="9"/>
      <c r="E45" s="10"/>
      <c r="F45" s="9"/>
      <c r="G45" s="22"/>
      <c r="H45" s="9"/>
      <c r="I45" s="9"/>
      <c r="J45" s="9"/>
      <c r="K45" s="9"/>
      <c r="L45" s="9"/>
      <c r="M45" s="9"/>
      <c r="N45" s="9"/>
      <c r="O45" s="9"/>
      <c r="P45" s="9"/>
      <c r="Q45" s="9"/>
      <c r="R45" s="9"/>
      <c r="S45" s="9"/>
      <c r="T45" s="9"/>
      <c r="U45" s="9"/>
      <c r="V45" s="9"/>
      <c r="W45" s="9"/>
      <c r="X45" s="9"/>
      <c r="Y45" s="9"/>
      <c r="Z45" s="9"/>
    </row>
    <row r="46" ht="15.75" customHeight="1" spans="1:26">
      <c r="A46" s="9"/>
      <c r="B46" s="9"/>
      <c r="C46" s="9"/>
      <c r="D46" s="9"/>
      <c r="E46" s="10"/>
      <c r="F46" s="9"/>
      <c r="G46" s="22"/>
      <c r="H46" s="9"/>
      <c r="I46" s="9"/>
      <c r="J46" s="9"/>
      <c r="K46" s="9"/>
      <c r="L46" s="9"/>
      <c r="M46" s="9"/>
      <c r="N46" s="9"/>
      <c r="O46" s="9"/>
      <c r="P46" s="9"/>
      <c r="Q46" s="9"/>
      <c r="R46" s="9"/>
      <c r="S46" s="9"/>
      <c r="T46" s="9"/>
      <c r="U46" s="9"/>
      <c r="V46" s="9"/>
      <c r="W46" s="9"/>
      <c r="X46" s="9"/>
      <c r="Y46" s="9"/>
      <c r="Z46" s="9"/>
    </row>
    <row r="47" ht="15.75" customHeight="1" spans="1:26">
      <c r="A47" s="9"/>
      <c r="B47" s="9"/>
      <c r="C47" s="9"/>
      <c r="D47" s="9"/>
      <c r="E47" s="10"/>
      <c r="F47" s="9"/>
      <c r="G47" s="22"/>
      <c r="H47" s="9"/>
      <c r="I47" s="9"/>
      <c r="J47" s="9"/>
      <c r="K47" s="9"/>
      <c r="L47" s="9"/>
      <c r="M47" s="9"/>
      <c r="N47" s="9"/>
      <c r="O47" s="9"/>
      <c r="P47" s="9"/>
      <c r="Q47" s="9"/>
      <c r="R47" s="9"/>
      <c r="S47" s="9"/>
      <c r="T47" s="9"/>
      <c r="U47" s="9"/>
      <c r="V47" s="9"/>
      <c r="W47" s="9"/>
      <c r="X47" s="9"/>
      <c r="Y47" s="9"/>
      <c r="Z47" s="9"/>
    </row>
    <row r="48" ht="15.75" customHeight="1" spans="1:26">
      <c r="A48" s="9"/>
      <c r="B48" s="9"/>
      <c r="C48" s="9"/>
      <c r="D48" s="9"/>
      <c r="E48" s="10"/>
      <c r="F48" s="9"/>
      <c r="G48" s="22"/>
      <c r="H48" s="9"/>
      <c r="I48" s="9"/>
      <c r="J48" s="9"/>
      <c r="K48" s="9"/>
      <c r="L48" s="9"/>
      <c r="M48" s="9"/>
      <c r="N48" s="9"/>
      <c r="O48" s="9"/>
      <c r="P48" s="9"/>
      <c r="Q48" s="9"/>
      <c r="R48" s="9"/>
      <c r="S48" s="9"/>
      <c r="T48" s="9"/>
      <c r="U48" s="9"/>
      <c r="V48" s="9"/>
      <c r="W48" s="9"/>
      <c r="X48" s="9"/>
      <c r="Y48" s="9"/>
      <c r="Z48" s="9"/>
    </row>
    <row r="49" ht="15.75" customHeight="1" spans="1:26">
      <c r="A49" s="9"/>
      <c r="B49" s="9"/>
      <c r="C49" s="9"/>
      <c r="D49" s="9"/>
      <c r="E49" s="10"/>
      <c r="F49" s="9"/>
      <c r="G49" s="22"/>
      <c r="H49" s="9"/>
      <c r="I49" s="9"/>
      <c r="J49" s="9"/>
      <c r="K49" s="9"/>
      <c r="L49" s="9"/>
      <c r="M49" s="9"/>
      <c r="N49" s="9"/>
      <c r="O49" s="9"/>
      <c r="P49" s="9"/>
      <c r="Q49" s="9"/>
      <c r="R49" s="9"/>
      <c r="S49" s="9"/>
      <c r="T49" s="9"/>
      <c r="U49" s="9"/>
      <c r="V49" s="9"/>
      <c r="W49" s="9"/>
      <c r="X49" s="9"/>
      <c r="Y49" s="9"/>
      <c r="Z49" s="9"/>
    </row>
    <row r="50" ht="15.75" customHeight="1" spans="1:26">
      <c r="A50" s="9"/>
      <c r="B50" s="9"/>
      <c r="C50" s="9"/>
      <c r="D50" s="9"/>
      <c r="E50" s="10"/>
      <c r="F50" s="9"/>
      <c r="G50" s="22"/>
      <c r="H50" s="9"/>
      <c r="I50" s="9"/>
      <c r="J50" s="9"/>
      <c r="K50" s="9"/>
      <c r="L50" s="9"/>
      <c r="M50" s="9"/>
      <c r="N50" s="9"/>
      <c r="O50" s="9"/>
      <c r="P50" s="9"/>
      <c r="Q50" s="9"/>
      <c r="R50" s="9"/>
      <c r="S50" s="9"/>
      <c r="T50" s="9"/>
      <c r="U50" s="9"/>
      <c r="V50" s="9"/>
      <c r="W50" s="9"/>
      <c r="X50" s="9"/>
      <c r="Y50" s="9"/>
      <c r="Z50" s="9"/>
    </row>
    <row r="51" ht="15.75" customHeight="1" spans="1:26">
      <c r="A51" s="9"/>
      <c r="B51" s="9"/>
      <c r="C51" s="9"/>
      <c r="D51" s="9"/>
      <c r="E51" s="10"/>
      <c r="F51" s="9"/>
      <c r="G51" s="22"/>
      <c r="H51" s="9"/>
      <c r="I51" s="9"/>
      <c r="J51" s="9"/>
      <c r="K51" s="9"/>
      <c r="L51" s="9"/>
      <c r="M51" s="9"/>
      <c r="N51" s="9"/>
      <c r="O51" s="9"/>
      <c r="P51" s="9"/>
      <c r="Q51" s="9"/>
      <c r="R51" s="9"/>
      <c r="S51" s="9"/>
      <c r="T51" s="9"/>
      <c r="U51" s="9"/>
      <c r="V51" s="9"/>
      <c r="W51" s="9"/>
      <c r="X51" s="9"/>
      <c r="Y51" s="9"/>
      <c r="Z51" s="9"/>
    </row>
    <row r="52" ht="15.75" customHeight="1" spans="1:26">
      <c r="A52" s="9"/>
      <c r="B52" s="9"/>
      <c r="C52" s="9"/>
      <c r="D52" s="9"/>
      <c r="E52" s="10"/>
      <c r="F52" s="9"/>
      <c r="G52" s="22"/>
      <c r="H52" s="9"/>
      <c r="I52" s="9"/>
      <c r="J52" s="9"/>
      <c r="K52" s="9"/>
      <c r="L52" s="9"/>
      <c r="M52" s="9"/>
      <c r="N52" s="9"/>
      <c r="O52" s="9"/>
      <c r="P52" s="9"/>
      <c r="Q52" s="9"/>
      <c r="R52" s="9"/>
      <c r="S52" s="9"/>
      <c r="T52" s="9"/>
      <c r="U52" s="9"/>
      <c r="V52" s="9"/>
      <c r="W52" s="9"/>
      <c r="X52" s="9"/>
      <c r="Y52" s="9"/>
      <c r="Z52" s="9"/>
    </row>
    <row r="53" ht="15.75" customHeight="1" spans="1:26">
      <c r="A53" s="9"/>
      <c r="B53" s="9"/>
      <c r="C53" s="9"/>
      <c r="D53" s="9"/>
      <c r="E53" s="10"/>
      <c r="F53" s="9"/>
      <c r="G53" s="22"/>
      <c r="H53" s="9"/>
      <c r="I53" s="9"/>
      <c r="J53" s="9"/>
      <c r="K53" s="9"/>
      <c r="L53" s="9"/>
      <c r="M53" s="9"/>
      <c r="N53" s="9"/>
      <c r="O53" s="9"/>
      <c r="P53" s="9"/>
      <c r="Q53" s="9"/>
      <c r="R53" s="9"/>
      <c r="S53" s="9"/>
      <c r="T53" s="9"/>
      <c r="U53" s="9"/>
      <c r="V53" s="9"/>
      <c r="W53" s="9"/>
      <c r="X53" s="9"/>
      <c r="Y53" s="9"/>
      <c r="Z53" s="9"/>
    </row>
    <row r="54" ht="15.75" customHeight="1" spans="1:26">
      <c r="A54" s="9"/>
      <c r="B54" s="9"/>
      <c r="C54" s="9"/>
      <c r="D54" s="9"/>
      <c r="E54" s="10"/>
      <c r="F54" s="9"/>
      <c r="G54" s="22"/>
      <c r="H54" s="9"/>
      <c r="I54" s="9"/>
      <c r="J54" s="9"/>
      <c r="K54" s="9"/>
      <c r="L54" s="9"/>
      <c r="M54" s="9"/>
      <c r="N54" s="9"/>
      <c r="O54" s="9"/>
      <c r="P54" s="9"/>
      <c r="Q54" s="9"/>
      <c r="R54" s="9"/>
      <c r="S54" s="9"/>
      <c r="T54" s="9"/>
      <c r="U54" s="9"/>
      <c r="V54" s="9"/>
      <c r="W54" s="9"/>
      <c r="X54" s="9"/>
      <c r="Y54" s="9"/>
      <c r="Z54" s="9"/>
    </row>
    <row r="55" ht="15.75" customHeight="1" spans="1:26">
      <c r="A55" s="9"/>
      <c r="B55" s="9"/>
      <c r="C55" s="9"/>
      <c r="D55" s="9"/>
      <c r="E55" s="10"/>
      <c r="F55" s="9"/>
      <c r="G55" s="22"/>
      <c r="H55" s="9"/>
      <c r="I55" s="9"/>
      <c r="J55" s="9"/>
      <c r="K55" s="9"/>
      <c r="L55" s="9"/>
      <c r="M55" s="9"/>
      <c r="N55" s="9"/>
      <c r="O55" s="9"/>
      <c r="P55" s="9"/>
      <c r="Q55" s="9"/>
      <c r="R55" s="9"/>
      <c r="S55" s="9"/>
      <c r="T55" s="9"/>
      <c r="U55" s="9"/>
      <c r="V55" s="9"/>
      <c r="W55" s="9"/>
      <c r="X55" s="9"/>
      <c r="Y55" s="9"/>
      <c r="Z55" s="9"/>
    </row>
    <row r="56" ht="15.75" customHeight="1" spans="1:26">
      <c r="A56" s="9"/>
      <c r="B56" s="9"/>
      <c r="C56" s="9"/>
      <c r="D56" s="9"/>
      <c r="E56" s="10"/>
      <c r="F56" s="9"/>
      <c r="G56" s="22"/>
      <c r="H56" s="9"/>
      <c r="I56" s="9"/>
      <c r="J56" s="9"/>
      <c r="K56" s="9"/>
      <c r="L56" s="9"/>
      <c r="M56" s="9"/>
      <c r="N56" s="9"/>
      <c r="O56" s="9"/>
      <c r="P56" s="9"/>
      <c r="Q56" s="9"/>
      <c r="R56" s="9"/>
      <c r="S56" s="9"/>
      <c r="T56" s="9"/>
      <c r="U56" s="9"/>
      <c r="V56" s="9"/>
      <c r="W56" s="9"/>
      <c r="X56" s="9"/>
      <c r="Y56" s="9"/>
      <c r="Z56" s="9"/>
    </row>
    <row r="57" ht="15.75" customHeight="1" spans="1:26">
      <c r="A57" s="9"/>
      <c r="B57" s="9"/>
      <c r="C57" s="9"/>
      <c r="D57" s="9"/>
      <c r="E57" s="10"/>
      <c r="F57" s="9"/>
      <c r="G57" s="22"/>
      <c r="H57" s="9"/>
      <c r="I57" s="9"/>
      <c r="J57" s="9"/>
      <c r="K57" s="9"/>
      <c r="L57" s="9"/>
      <c r="M57" s="9"/>
      <c r="N57" s="9"/>
      <c r="O57" s="9"/>
      <c r="P57" s="9"/>
      <c r="Q57" s="9"/>
      <c r="R57" s="9"/>
      <c r="S57" s="9"/>
      <c r="T57" s="9"/>
      <c r="U57" s="9"/>
      <c r="V57" s="9"/>
      <c r="W57" s="9"/>
      <c r="X57" s="9"/>
      <c r="Y57" s="9"/>
      <c r="Z57" s="9"/>
    </row>
    <row r="58" ht="15.75" customHeight="1" spans="1:26">
      <c r="A58" s="9"/>
      <c r="B58" s="9"/>
      <c r="C58" s="9"/>
      <c r="D58" s="9"/>
      <c r="E58" s="10"/>
      <c r="F58" s="9"/>
      <c r="G58" s="22"/>
      <c r="H58" s="9"/>
      <c r="I58" s="9"/>
      <c r="J58" s="9"/>
      <c r="K58" s="9"/>
      <c r="L58" s="9"/>
      <c r="M58" s="9"/>
      <c r="N58" s="9"/>
      <c r="O58" s="9"/>
      <c r="P58" s="9"/>
      <c r="Q58" s="9"/>
      <c r="R58" s="9"/>
      <c r="S58" s="9"/>
      <c r="T58" s="9"/>
      <c r="U58" s="9"/>
      <c r="V58" s="9"/>
      <c r="W58" s="9"/>
      <c r="X58" s="9"/>
      <c r="Y58" s="9"/>
      <c r="Z58" s="9"/>
    </row>
    <row r="59" ht="15.75" customHeight="1" spans="1:26">
      <c r="A59" s="9"/>
      <c r="B59" s="9"/>
      <c r="C59" s="9"/>
      <c r="D59" s="9"/>
      <c r="E59" s="10"/>
      <c r="F59" s="9"/>
      <c r="G59" s="22"/>
      <c r="H59" s="9"/>
      <c r="I59" s="9"/>
      <c r="J59" s="9"/>
      <c r="K59" s="9"/>
      <c r="L59" s="9"/>
      <c r="M59" s="9"/>
      <c r="N59" s="9"/>
      <c r="O59" s="9"/>
      <c r="P59" s="9"/>
      <c r="Q59" s="9"/>
      <c r="R59" s="9"/>
      <c r="S59" s="9"/>
      <c r="T59" s="9"/>
      <c r="U59" s="9"/>
      <c r="V59" s="9"/>
      <c r="W59" s="9"/>
      <c r="X59" s="9"/>
      <c r="Y59" s="9"/>
      <c r="Z59" s="9"/>
    </row>
    <row r="60" ht="15.75" customHeight="1" spans="1:26">
      <c r="A60" s="9"/>
      <c r="B60" s="9"/>
      <c r="C60" s="9"/>
      <c r="D60" s="9"/>
      <c r="E60" s="10"/>
      <c r="F60" s="9"/>
      <c r="G60" s="22"/>
      <c r="H60" s="9"/>
      <c r="I60" s="9"/>
      <c r="J60" s="9"/>
      <c r="K60" s="9"/>
      <c r="L60" s="9"/>
      <c r="M60" s="9"/>
      <c r="N60" s="9"/>
      <c r="O60" s="9"/>
      <c r="P60" s="9"/>
      <c r="Q60" s="9"/>
      <c r="R60" s="9"/>
      <c r="S60" s="9"/>
      <c r="T60" s="9"/>
      <c r="U60" s="9"/>
      <c r="V60" s="9"/>
      <c r="W60" s="9"/>
      <c r="X60" s="9"/>
      <c r="Y60" s="9"/>
      <c r="Z60" s="9"/>
    </row>
    <row r="61" ht="15.75" customHeight="1" spans="1:26">
      <c r="A61" s="9"/>
      <c r="B61" s="9"/>
      <c r="C61" s="9"/>
      <c r="D61" s="9"/>
      <c r="E61" s="10"/>
      <c r="F61" s="9"/>
      <c r="G61" s="22"/>
      <c r="H61" s="9"/>
      <c r="I61" s="9"/>
      <c r="J61" s="9"/>
      <c r="K61" s="9"/>
      <c r="L61" s="9"/>
      <c r="M61" s="9"/>
      <c r="N61" s="9"/>
      <c r="O61" s="9"/>
      <c r="P61" s="9"/>
      <c r="Q61" s="9"/>
      <c r="R61" s="9"/>
      <c r="S61" s="9"/>
      <c r="T61" s="9"/>
      <c r="U61" s="9"/>
      <c r="V61" s="9"/>
      <c r="W61" s="9"/>
      <c r="X61" s="9"/>
      <c r="Y61" s="9"/>
      <c r="Z61" s="9"/>
    </row>
    <row r="62" ht="15.75" customHeight="1" spans="1:26">
      <c r="A62" s="9"/>
      <c r="B62" s="9"/>
      <c r="C62" s="9"/>
      <c r="D62" s="9"/>
      <c r="E62" s="10"/>
      <c r="F62" s="9"/>
      <c r="G62" s="22"/>
      <c r="H62" s="9"/>
      <c r="I62" s="9"/>
      <c r="J62" s="9"/>
      <c r="K62" s="9"/>
      <c r="L62" s="9"/>
      <c r="M62" s="9"/>
      <c r="N62" s="9"/>
      <c r="O62" s="9"/>
      <c r="P62" s="9"/>
      <c r="Q62" s="9"/>
      <c r="R62" s="9"/>
      <c r="S62" s="9"/>
      <c r="T62" s="9"/>
      <c r="U62" s="9"/>
      <c r="V62" s="9"/>
      <c r="W62" s="9"/>
      <c r="X62" s="9"/>
      <c r="Y62" s="9"/>
      <c r="Z62" s="9"/>
    </row>
    <row r="63" ht="15.75" customHeight="1" spans="1:26">
      <c r="A63" s="9"/>
      <c r="B63" s="9"/>
      <c r="C63" s="9"/>
      <c r="D63" s="9"/>
      <c r="E63" s="10"/>
      <c r="F63" s="9"/>
      <c r="G63" s="22"/>
      <c r="H63" s="9"/>
      <c r="I63" s="9"/>
      <c r="J63" s="9"/>
      <c r="K63" s="9"/>
      <c r="L63" s="9"/>
      <c r="M63" s="9"/>
      <c r="N63" s="9"/>
      <c r="O63" s="9"/>
      <c r="P63" s="9"/>
      <c r="Q63" s="9"/>
      <c r="R63" s="9"/>
      <c r="S63" s="9"/>
      <c r="T63" s="9"/>
      <c r="U63" s="9"/>
      <c r="V63" s="9"/>
      <c r="W63" s="9"/>
      <c r="X63" s="9"/>
      <c r="Y63" s="9"/>
      <c r="Z63" s="9"/>
    </row>
    <row r="64" ht="15.75" customHeight="1" spans="1:26">
      <c r="A64" s="9"/>
      <c r="B64" s="9"/>
      <c r="C64" s="9"/>
      <c r="D64" s="9"/>
      <c r="E64" s="10"/>
      <c r="F64" s="9"/>
      <c r="G64" s="22"/>
      <c r="H64" s="9"/>
      <c r="I64" s="9"/>
      <c r="J64" s="9"/>
      <c r="K64" s="9"/>
      <c r="L64" s="9"/>
      <c r="M64" s="9"/>
      <c r="N64" s="9"/>
      <c r="O64" s="9"/>
      <c r="P64" s="9"/>
      <c r="Q64" s="9"/>
      <c r="R64" s="9"/>
      <c r="S64" s="9"/>
      <c r="T64" s="9"/>
      <c r="U64" s="9"/>
      <c r="V64" s="9"/>
      <c r="W64" s="9"/>
      <c r="X64" s="9"/>
      <c r="Y64" s="9"/>
      <c r="Z64" s="9"/>
    </row>
    <row r="65" ht="15.75" customHeight="1" spans="1:26">
      <c r="A65" s="9"/>
      <c r="B65" s="9"/>
      <c r="C65" s="9"/>
      <c r="D65" s="9"/>
      <c r="E65" s="10"/>
      <c r="F65" s="9"/>
      <c r="G65" s="22"/>
      <c r="H65" s="9"/>
      <c r="I65" s="9"/>
      <c r="J65" s="9"/>
      <c r="K65" s="9"/>
      <c r="L65" s="9"/>
      <c r="M65" s="9"/>
      <c r="N65" s="9"/>
      <c r="O65" s="9"/>
      <c r="P65" s="9"/>
      <c r="Q65" s="9"/>
      <c r="R65" s="9"/>
      <c r="S65" s="9"/>
      <c r="T65" s="9"/>
      <c r="U65" s="9"/>
      <c r="V65" s="9"/>
      <c r="W65" s="9"/>
      <c r="X65" s="9"/>
      <c r="Y65" s="9"/>
      <c r="Z65" s="9"/>
    </row>
    <row r="66" ht="15.75" customHeight="1" spans="1:26">
      <c r="A66" s="9"/>
      <c r="B66" s="9"/>
      <c r="C66" s="9"/>
      <c r="D66" s="9"/>
      <c r="E66" s="10"/>
      <c r="F66" s="9"/>
      <c r="G66" s="22"/>
      <c r="H66" s="9"/>
      <c r="I66" s="9"/>
      <c r="J66" s="9"/>
      <c r="K66" s="9"/>
      <c r="L66" s="9"/>
      <c r="M66" s="9"/>
      <c r="N66" s="9"/>
      <c r="O66" s="9"/>
      <c r="P66" s="9"/>
      <c r="Q66" s="9"/>
      <c r="R66" s="9"/>
      <c r="S66" s="9"/>
      <c r="T66" s="9"/>
      <c r="U66" s="9"/>
      <c r="V66" s="9"/>
      <c r="W66" s="9"/>
      <c r="X66" s="9"/>
      <c r="Y66" s="9"/>
      <c r="Z66" s="9"/>
    </row>
    <row r="67" ht="15.75" customHeight="1" spans="1:26">
      <c r="A67" s="9"/>
      <c r="B67" s="9"/>
      <c r="C67" s="9"/>
      <c r="D67" s="9"/>
      <c r="E67" s="10"/>
      <c r="F67" s="9"/>
      <c r="G67" s="22"/>
      <c r="H67" s="9"/>
      <c r="I67" s="9"/>
      <c r="J67" s="9"/>
      <c r="K67" s="9"/>
      <c r="L67" s="9"/>
      <c r="M67" s="9"/>
      <c r="N67" s="9"/>
      <c r="O67" s="9"/>
      <c r="P67" s="9"/>
      <c r="Q67" s="9"/>
      <c r="R67" s="9"/>
      <c r="S67" s="9"/>
      <c r="T67" s="9"/>
      <c r="U67" s="9"/>
      <c r="V67" s="9"/>
      <c r="W67" s="9"/>
      <c r="X67" s="9"/>
      <c r="Y67" s="9"/>
      <c r="Z67" s="9"/>
    </row>
    <row r="68" ht="15.75" customHeight="1" spans="1:26">
      <c r="A68" s="9"/>
      <c r="B68" s="9"/>
      <c r="C68" s="9"/>
      <c r="D68" s="9"/>
      <c r="E68" s="10"/>
      <c r="F68" s="9"/>
      <c r="G68" s="22"/>
      <c r="H68" s="9"/>
      <c r="I68" s="9"/>
      <c r="J68" s="9"/>
      <c r="K68" s="9"/>
      <c r="L68" s="9"/>
      <c r="M68" s="9"/>
      <c r="N68" s="9"/>
      <c r="O68" s="9"/>
      <c r="P68" s="9"/>
      <c r="Q68" s="9"/>
      <c r="R68" s="9"/>
      <c r="S68" s="9"/>
      <c r="T68" s="9"/>
      <c r="U68" s="9"/>
      <c r="V68" s="9"/>
      <c r="W68" s="9"/>
      <c r="X68" s="9"/>
      <c r="Y68" s="9"/>
      <c r="Z68" s="9"/>
    </row>
    <row r="69" ht="15.75" customHeight="1" spans="1:26">
      <c r="A69" s="9"/>
      <c r="B69" s="9"/>
      <c r="C69" s="9"/>
      <c r="D69" s="9"/>
      <c r="E69" s="10"/>
      <c r="F69" s="9"/>
      <c r="G69" s="22"/>
      <c r="H69" s="9"/>
      <c r="I69" s="9"/>
      <c r="J69" s="9"/>
      <c r="K69" s="9"/>
      <c r="L69" s="9"/>
      <c r="M69" s="9"/>
      <c r="N69" s="9"/>
      <c r="O69" s="9"/>
      <c r="P69" s="9"/>
      <c r="Q69" s="9"/>
      <c r="R69" s="9"/>
      <c r="S69" s="9"/>
      <c r="T69" s="9"/>
      <c r="U69" s="9"/>
      <c r="V69" s="9"/>
      <c r="W69" s="9"/>
      <c r="X69" s="9"/>
      <c r="Y69" s="9"/>
      <c r="Z69" s="9"/>
    </row>
    <row r="70" ht="15.75" customHeight="1" spans="1:26">
      <c r="A70" s="9"/>
      <c r="B70" s="9"/>
      <c r="C70" s="9"/>
      <c r="D70" s="9"/>
      <c r="E70" s="10"/>
      <c r="F70" s="9"/>
      <c r="G70" s="22"/>
      <c r="H70" s="9"/>
      <c r="I70" s="9"/>
      <c r="J70" s="9"/>
      <c r="K70" s="9"/>
      <c r="L70" s="9"/>
      <c r="M70" s="9"/>
      <c r="N70" s="9"/>
      <c r="O70" s="9"/>
      <c r="P70" s="9"/>
      <c r="Q70" s="9"/>
      <c r="R70" s="9"/>
      <c r="S70" s="9"/>
      <c r="T70" s="9"/>
      <c r="U70" s="9"/>
      <c r="V70" s="9"/>
      <c r="W70" s="9"/>
      <c r="X70" s="9"/>
      <c r="Y70" s="9"/>
      <c r="Z70" s="9"/>
    </row>
    <row r="71" ht="15.75" customHeight="1" spans="1:26">
      <c r="A71" s="9"/>
      <c r="B71" s="9"/>
      <c r="C71" s="9"/>
      <c r="D71" s="9"/>
      <c r="E71" s="10"/>
      <c r="F71" s="9"/>
      <c r="G71" s="22"/>
      <c r="H71" s="9"/>
      <c r="I71" s="9"/>
      <c r="J71" s="9"/>
      <c r="K71" s="9"/>
      <c r="L71" s="9"/>
      <c r="M71" s="9"/>
      <c r="N71" s="9"/>
      <c r="O71" s="9"/>
      <c r="P71" s="9"/>
      <c r="Q71" s="9"/>
      <c r="R71" s="9"/>
      <c r="S71" s="9"/>
      <c r="T71" s="9"/>
      <c r="U71" s="9"/>
      <c r="V71" s="9"/>
      <c r="W71" s="9"/>
      <c r="X71" s="9"/>
      <c r="Y71" s="9"/>
      <c r="Z71" s="9"/>
    </row>
    <row r="72" ht="15.75" customHeight="1" spans="1:26">
      <c r="A72" s="9"/>
      <c r="B72" s="9"/>
      <c r="C72" s="9"/>
      <c r="D72" s="9"/>
      <c r="E72" s="10"/>
      <c r="F72" s="9"/>
      <c r="G72" s="22"/>
      <c r="H72" s="9"/>
      <c r="I72" s="9"/>
      <c r="J72" s="9"/>
      <c r="K72" s="9"/>
      <c r="L72" s="9"/>
      <c r="M72" s="9"/>
      <c r="N72" s="9"/>
      <c r="O72" s="9"/>
      <c r="P72" s="9"/>
      <c r="Q72" s="9"/>
      <c r="R72" s="9"/>
      <c r="S72" s="9"/>
      <c r="T72" s="9"/>
      <c r="U72" s="9"/>
      <c r="V72" s="9"/>
      <c r="W72" s="9"/>
      <c r="X72" s="9"/>
      <c r="Y72" s="9"/>
      <c r="Z72" s="9"/>
    </row>
    <row r="73" ht="15.75" customHeight="1" spans="1:26">
      <c r="A73" s="9"/>
      <c r="B73" s="9"/>
      <c r="C73" s="9"/>
      <c r="D73" s="9"/>
      <c r="E73" s="10"/>
      <c r="F73" s="9"/>
      <c r="G73" s="22"/>
      <c r="H73" s="9"/>
      <c r="I73" s="9"/>
      <c r="J73" s="9"/>
      <c r="K73" s="9"/>
      <c r="L73" s="9"/>
      <c r="M73" s="9"/>
      <c r="N73" s="9"/>
      <c r="O73" s="9"/>
      <c r="P73" s="9"/>
      <c r="Q73" s="9"/>
      <c r="R73" s="9"/>
      <c r="S73" s="9"/>
      <c r="T73" s="9"/>
      <c r="U73" s="9"/>
      <c r="V73" s="9"/>
      <c r="W73" s="9"/>
      <c r="X73" s="9"/>
      <c r="Y73" s="9"/>
      <c r="Z73" s="9"/>
    </row>
    <row r="74" ht="15.75" customHeight="1" spans="1:26">
      <c r="A74" s="9"/>
      <c r="B74" s="9"/>
      <c r="C74" s="9"/>
      <c r="D74" s="9"/>
      <c r="E74" s="10"/>
      <c r="F74" s="9"/>
      <c r="G74" s="22"/>
      <c r="H74" s="9"/>
      <c r="I74" s="9"/>
      <c r="J74" s="9"/>
      <c r="K74" s="9"/>
      <c r="L74" s="9"/>
      <c r="M74" s="9"/>
      <c r="N74" s="9"/>
      <c r="O74" s="9"/>
      <c r="P74" s="9"/>
      <c r="Q74" s="9"/>
      <c r="R74" s="9"/>
      <c r="S74" s="9"/>
      <c r="T74" s="9"/>
      <c r="U74" s="9"/>
      <c r="V74" s="9"/>
      <c r="W74" s="9"/>
      <c r="X74" s="9"/>
      <c r="Y74" s="9"/>
      <c r="Z74" s="9"/>
    </row>
    <row r="75" ht="15.75" customHeight="1" spans="1:26">
      <c r="A75" s="9"/>
      <c r="B75" s="9"/>
      <c r="C75" s="9"/>
      <c r="D75" s="9"/>
      <c r="E75" s="10"/>
      <c r="F75" s="9"/>
      <c r="G75" s="22"/>
      <c r="H75" s="9"/>
      <c r="I75" s="9"/>
      <c r="J75" s="9"/>
      <c r="K75" s="9"/>
      <c r="L75" s="9"/>
      <c r="M75" s="9"/>
      <c r="N75" s="9"/>
      <c r="O75" s="9"/>
      <c r="P75" s="9"/>
      <c r="Q75" s="9"/>
      <c r="R75" s="9"/>
      <c r="S75" s="9"/>
      <c r="T75" s="9"/>
      <c r="U75" s="9"/>
      <c r="V75" s="9"/>
      <c r="W75" s="9"/>
      <c r="X75" s="9"/>
      <c r="Y75" s="9"/>
      <c r="Z75" s="9"/>
    </row>
    <row r="76" ht="15.75" customHeight="1" spans="1:26">
      <c r="A76" s="9"/>
      <c r="B76" s="9"/>
      <c r="C76" s="9"/>
      <c r="D76" s="9"/>
      <c r="E76" s="10"/>
      <c r="F76" s="9"/>
      <c r="G76" s="22"/>
      <c r="H76" s="9"/>
      <c r="I76" s="9"/>
      <c r="J76" s="9"/>
      <c r="K76" s="9"/>
      <c r="L76" s="9"/>
      <c r="M76" s="9"/>
      <c r="N76" s="9"/>
      <c r="O76" s="9"/>
      <c r="P76" s="9"/>
      <c r="Q76" s="9"/>
      <c r="R76" s="9"/>
      <c r="S76" s="9"/>
      <c r="T76" s="9"/>
      <c r="U76" s="9"/>
      <c r="V76" s="9"/>
      <c r="W76" s="9"/>
      <c r="X76" s="9"/>
      <c r="Y76" s="9"/>
      <c r="Z76" s="9"/>
    </row>
    <row r="77" ht="15.75" customHeight="1" spans="1:26">
      <c r="A77" s="9"/>
      <c r="B77" s="9"/>
      <c r="C77" s="9"/>
      <c r="D77" s="9"/>
      <c r="E77" s="10"/>
      <c r="F77" s="9"/>
      <c r="G77" s="22"/>
      <c r="H77" s="9"/>
      <c r="I77" s="9"/>
      <c r="J77" s="9"/>
      <c r="K77" s="9"/>
      <c r="L77" s="9"/>
      <c r="M77" s="9"/>
      <c r="N77" s="9"/>
      <c r="O77" s="9"/>
      <c r="P77" s="9"/>
      <c r="Q77" s="9"/>
      <c r="R77" s="9"/>
      <c r="S77" s="9"/>
      <c r="T77" s="9"/>
      <c r="U77" s="9"/>
      <c r="V77" s="9"/>
      <c r="W77" s="9"/>
      <c r="X77" s="9"/>
      <c r="Y77" s="9"/>
      <c r="Z77" s="9"/>
    </row>
    <row r="78" ht="15.75" customHeight="1" spans="1:26">
      <c r="A78" s="9"/>
      <c r="B78" s="9"/>
      <c r="C78" s="9"/>
      <c r="D78" s="9"/>
      <c r="E78" s="10"/>
      <c r="F78" s="9"/>
      <c r="G78" s="22"/>
      <c r="H78" s="9"/>
      <c r="I78" s="9"/>
      <c r="J78" s="9"/>
      <c r="K78" s="9"/>
      <c r="L78" s="9"/>
      <c r="M78" s="9"/>
      <c r="N78" s="9"/>
      <c r="O78" s="9"/>
      <c r="P78" s="9"/>
      <c r="Q78" s="9"/>
      <c r="R78" s="9"/>
      <c r="S78" s="9"/>
      <c r="T78" s="9"/>
      <c r="U78" s="9"/>
      <c r="V78" s="9"/>
      <c r="W78" s="9"/>
      <c r="X78" s="9"/>
      <c r="Y78" s="9"/>
      <c r="Z78" s="9"/>
    </row>
    <row r="79" ht="15.75" customHeight="1" spans="1:26">
      <c r="A79" s="9"/>
      <c r="B79" s="9"/>
      <c r="C79" s="9"/>
      <c r="D79" s="9"/>
      <c r="E79" s="10"/>
      <c r="F79" s="9"/>
      <c r="G79" s="22"/>
      <c r="H79" s="9"/>
      <c r="I79" s="9"/>
      <c r="J79" s="9"/>
      <c r="K79" s="9"/>
      <c r="L79" s="9"/>
      <c r="M79" s="9"/>
      <c r="N79" s="9"/>
      <c r="O79" s="9"/>
      <c r="P79" s="9"/>
      <c r="Q79" s="9"/>
      <c r="R79" s="9"/>
      <c r="S79" s="9"/>
      <c r="T79" s="9"/>
      <c r="U79" s="9"/>
      <c r="V79" s="9"/>
      <c r="W79" s="9"/>
      <c r="X79" s="9"/>
      <c r="Y79" s="9"/>
      <c r="Z79" s="9"/>
    </row>
    <row r="80" ht="15.75" customHeight="1" spans="1:26">
      <c r="A80" s="9"/>
      <c r="B80" s="9"/>
      <c r="C80" s="9"/>
      <c r="D80" s="9"/>
      <c r="E80" s="10"/>
      <c r="F80" s="9"/>
      <c r="G80" s="22"/>
      <c r="H80" s="9"/>
      <c r="I80" s="9"/>
      <c r="J80" s="9"/>
      <c r="K80" s="9"/>
      <c r="L80" s="9"/>
      <c r="M80" s="9"/>
      <c r="N80" s="9"/>
      <c r="O80" s="9"/>
      <c r="P80" s="9"/>
      <c r="Q80" s="9"/>
      <c r="R80" s="9"/>
      <c r="S80" s="9"/>
      <c r="T80" s="9"/>
      <c r="U80" s="9"/>
      <c r="V80" s="9"/>
      <c r="W80" s="9"/>
      <c r="X80" s="9"/>
      <c r="Y80" s="9"/>
      <c r="Z80" s="9"/>
    </row>
    <row r="81" ht="15.75" customHeight="1" spans="1:26">
      <c r="A81" s="9"/>
      <c r="B81" s="9"/>
      <c r="C81" s="9"/>
      <c r="D81" s="9"/>
      <c r="E81" s="10"/>
      <c r="F81" s="9"/>
      <c r="G81" s="22"/>
      <c r="H81" s="9"/>
      <c r="I81" s="9"/>
      <c r="J81" s="9"/>
      <c r="K81" s="9"/>
      <c r="L81" s="9"/>
      <c r="M81" s="9"/>
      <c r="N81" s="9"/>
      <c r="O81" s="9"/>
      <c r="P81" s="9"/>
      <c r="Q81" s="9"/>
      <c r="R81" s="9"/>
      <c r="S81" s="9"/>
      <c r="T81" s="9"/>
      <c r="U81" s="9"/>
      <c r="V81" s="9"/>
      <c r="W81" s="9"/>
      <c r="X81" s="9"/>
      <c r="Y81" s="9"/>
      <c r="Z81" s="9"/>
    </row>
    <row r="82" ht="15.75" customHeight="1" spans="1:26">
      <c r="A82" s="9"/>
      <c r="B82" s="9"/>
      <c r="C82" s="9"/>
      <c r="D82" s="9"/>
      <c r="E82" s="10"/>
      <c r="F82" s="9"/>
      <c r="G82" s="22"/>
      <c r="H82" s="9"/>
      <c r="I82" s="9"/>
      <c r="J82" s="9"/>
      <c r="K82" s="9"/>
      <c r="L82" s="9"/>
      <c r="M82" s="9"/>
      <c r="N82" s="9"/>
      <c r="O82" s="9"/>
      <c r="P82" s="9"/>
      <c r="Q82" s="9"/>
      <c r="R82" s="9"/>
      <c r="S82" s="9"/>
      <c r="T82" s="9"/>
      <c r="U82" s="9"/>
      <c r="V82" s="9"/>
      <c r="W82" s="9"/>
      <c r="X82" s="9"/>
      <c r="Y82" s="9"/>
      <c r="Z82" s="9"/>
    </row>
    <row r="83" ht="15.75" customHeight="1" spans="1:26">
      <c r="A83" s="9"/>
      <c r="B83" s="9"/>
      <c r="C83" s="9"/>
      <c r="D83" s="9"/>
      <c r="E83" s="10"/>
      <c r="F83" s="9"/>
      <c r="G83" s="22"/>
      <c r="H83" s="9"/>
      <c r="I83" s="9"/>
      <c r="J83" s="9"/>
      <c r="K83" s="9"/>
      <c r="L83" s="9"/>
      <c r="M83" s="9"/>
      <c r="N83" s="9"/>
      <c r="O83" s="9"/>
      <c r="P83" s="9"/>
      <c r="Q83" s="9"/>
      <c r="R83" s="9"/>
      <c r="S83" s="9"/>
      <c r="T83" s="9"/>
      <c r="U83" s="9"/>
      <c r="V83" s="9"/>
      <c r="W83" s="9"/>
      <c r="X83" s="9"/>
      <c r="Y83" s="9"/>
      <c r="Z83" s="9"/>
    </row>
    <row r="84" ht="15.75" customHeight="1" spans="1:26">
      <c r="A84" s="9"/>
      <c r="B84" s="9"/>
      <c r="C84" s="9"/>
      <c r="D84" s="9"/>
      <c r="E84" s="10"/>
      <c r="F84" s="9"/>
      <c r="G84" s="22"/>
      <c r="H84" s="9"/>
      <c r="I84" s="9"/>
      <c r="J84" s="9"/>
      <c r="K84" s="9"/>
      <c r="L84" s="9"/>
      <c r="M84" s="9"/>
      <c r="N84" s="9"/>
      <c r="O84" s="9"/>
      <c r="P84" s="9"/>
      <c r="Q84" s="9"/>
      <c r="R84" s="9"/>
      <c r="S84" s="9"/>
      <c r="T84" s="9"/>
      <c r="U84" s="9"/>
      <c r="V84" s="9"/>
      <c r="W84" s="9"/>
      <c r="X84" s="9"/>
      <c r="Y84" s="9"/>
      <c r="Z84" s="9"/>
    </row>
    <row r="85" ht="15.75" customHeight="1" spans="1:26">
      <c r="A85" s="9"/>
      <c r="B85" s="9"/>
      <c r="C85" s="9"/>
      <c r="D85" s="9"/>
      <c r="E85" s="10"/>
      <c r="F85" s="9"/>
      <c r="G85" s="22"/>
      <c r="H85" s="9"/>
      <c r="I85" s="9"/>
      <c r="J85" s="9"/>
      <c r="K85" s="9"/>
      <c r="L85" s="9"/>
      <c r="M85" s="9"/>
      <c r="N85" s="9"/>
      <c r="O85" s="9"/>
      <c r="P85" s="9"/>
      <c r="Q85" s="9"/>
      <c r="R85" s="9"/>
      <c r="S85" s="9"/>
      <c r="T85" s="9"/>
      <c r="U85" s="9"/>
      <c r="V85" s="9"/>
      <c r="W85" s="9"/>
      <c r="X85" s="9"/>
      <c r="Y85" s="9"/>
      <c r="Z85" s="9"/>
    </row>
    <row r="86" ht="15.75" customHeight="1" spans="1:26">
      <c r="A86" s="9"/>
      <c r="B86" s="9"/>
      <c r="C86" s="9"/>
      <c r="D86" s="9"/>
      <c r="E86" s="10"/>
      <c r="F86" s="9"/>
      <c r="G86" s="22"/>
      <c r="H86" s="9"/>
      <c r="I86" s="9"/>
      <c r="J86" s="9"/>
      <c r="K86" s="9"/>
      <c r="L86" s="9"/>
      <c r="M86" s="9"/>
      <c r="N86" s="9"/>
      <c r="O86" s="9"/>
      <c r="P86" s="9"/>
      <c r="Q86" s="9"/>
      <c r="R86" s="9"/>
      <c r="S86" s="9"/>
      <c r="T86" s="9"/>
      <c r="U86" s="9"/>
      <c r="V86" s="9"/>
      <c r="W86" s="9"/>
      <c r="X86" s="9"/>
      <c r="Y86" s="9"/>
      <c r="Z86" s="9"/>
    </row>
    <row r="87" ht="15.75" customHeight="1" spans="1:26">
      <c r="A87" s="9"/>
      <c r="B87" s="9"/>
      <c r="C87" s="9"/>
      <c r="D87" s="9"/>
      <c r="E87" s="10"/>
      <c r="F87" s="9"/>
      <c r="G87" s="22"/>
      <c r="H87" s="9"/>
      <c r="I87" s="9"/>
      <c r="J87" s="9"/>
      <c r="K87" s="9"/>
      <c r="L87" s="9"/>
      <c r="M87" s="9"/>
      <c r="N87" s="9"/>
      <c r="O87" s="9"/>
      <c r="P87" s="9"/>
      <c r="Q87" s="9"/>
      <c r="R87" s="9"/>
      <c r="S87" s="9"/>
      <c r="T87" s="9"/>
      <c r="U87" s="9"/>
      <c r="V87" s="9"/>
      <c r="W87" s="9"/>
      <c r="X87" s="9"/>
      <c r="Y87" s="9"/>
      <c r="Z87" s="9"/>
    </row>
    <row r="88" ht="15.75" customHeight="1" spans="1:26">
      <c r="A88" s="9"/>
      <c r="B88" s="9"/>
      <c r="C88" s="9"/>
      <c r="D88" s="9"/>
      <c r="E88" s="10"/>
      <c r="F88" s="9"/>
      <c r="G88" s="22"/>
      <c r="H88" s="9"/>
      <c r="I88" s="9"/>
      <c r="J88" s="9"/>
      <c r="K88" s="9"/>
      <c r="L88" s="9"/>
      <c r="M88" s="9"/>
      <c r="N88" s="9"/>
      <c r="O88" s="9"/>
      <c r="P88" s="9"/>
      <c r="Q88" s="9"/>
      <c r="R88" s="9"/>
      <c r="S88" s="9"/>
      <c r="T88" s="9"/>
      <c r="U88" s="9"/>
      <c r="V88" s="9"/>
      <c r="W88" s="9"/>
      <c r="X88" s="9"/>
      <c r="Y88" s="9"/>
      <c r="Z88" s="9"/>
    </row>
    <row r="89" ht="15.75" customHeight="1" spans="1:26">
      <c r="A89" s="9"/>
      <c r="B89" s="9"/>
      <c r="C89" s="9"/>
      <c r="D89" s="9"/>
      <c r="E89" s="10"/>
      <c r="F89" s="9"/>
      <c r="G89" s="22"/>
      <c r="H89" s="9"/>
      <c r="I89" s="9"/>
      <c r="J89" s="9"/>
      <c r="K89" s="9"/>
      <c r="L89" s="9"/>
      <c r="M89" s="9"/>
      <c r="N89" s="9"/>
      <c r="O89" s="9"/>
      <c r="P89" s="9"/>
      <c r="Q89" s="9"/>
      <c r="R89" s="9"/>
      <c r="S89" s="9"/>
      <c r="T89" s="9"/>
      <c r="U89" s="9"/>
      <c r="V89" s="9"/>
      <c r="W89" s="9"/>
      <c r="X89" s="9"/>
      <c r="Y89" s="9"/>
      <c r="Z89" s="9"/>
    </row>
    <row r="90" ht="15.75" customHeight="1" spans="1:26">
      <c r="A90" s="9"/>
      <c r="B90" s="9"/>
      <c r="C90" s="9"/>
      <c r="D90" s="9"/>
      <c r="E90" s="10"/>
      <c r="F90" s="9"/>
      <c r="G90" s="22"/>
      <c r="H90" s="9"/>
      <c r="I90" s="9"/>
      <c r="J90" s="9"/>
      <c r="K90" s="9"/>
      <c r="L90" s="9"/>
      <c r="M90" s="9"/>
      <c r="N90" s="9"/>
      <c r="O90" s="9"/>
      <c r="P90" s="9"/>
      <c r="Q90" s="9"/>
      <c r="R90" s="9"/>
      <c r="S90" s="9"/>
      <c r="T90" s="9"/>
      <c r="U90" s="9"/>
      <c r="V90" s="9"/>
      <c r="W90" s="9"/>
      <c r="X90" s="9"/>
      <c r="Y90" s="9"/>
      <c r="Z90" s="9"/>
    </row>
    <row r="91" ht="15.75" customHeight="1" spans="1:26">
      <c r="A91" s="9"/>
      <c r="B91" s="9"/>
      <c r="C91" s="9"/>
      <c r="D91" s="9"/>
      <c r="E91" s="10"/>
      <c r="F91" s="9"/>
      <c r="G91" s="22"/>
      <c r="H91" s="9"/>
      <c r="I91" s="9"/>
      <c r="J91" s="9"/>
      <c r="K91" s="9"/>
      <c r="L91" s="9"/>
      <c r="M91" s="9"/>
      <c r="N91" s="9"/>
      <c r="O91" s="9"/>
      <c r="P91" s="9"/>
      <c r="Q91" s="9"/>
      <c r="R91" s="9"/>
      <c r="S91" s="9"/>
      <c r="T91" s="9"/>
      <c r="U91" s="9"/>
      <c r="V91" s="9"/>
      <c r="W91" s="9"/>
      <c r="X91" s="9"/>
      <c r="Y91" s="9"/>
      <c r="Z91" s="9"/>
    </row>
    <row r="92" ht="15.75" customHeight="1" spans="1:26">
      <c r="A92" s="9"/>
      <c r="B92" s="9"/>
      <c r="C92" s="9"/>
      <c r="D92" s="9"/>
      <c r="E92" s="10"/>
      <c r="F92" s="9"/>
      <c r="G92" s="22"/>
      <c r="H92" s="9"/>
      <c r="I92" s="9"/>
      <c r="J92" s="9"/>
      <c r="K92" s="9"/>
      <c r="L92" s="9"/>
      <c r="M92" s="9"/>
      <c r="N92" s="9"/>
      <c r="O92" s="9"/>
      <c r="P92" s="9"/>
      <c r="Q92" s="9"/>
      <c r="R92" s="9"/>
      <c r="S92" s="9"/>
      <c r="T92" s="9"/>
      <c r="U92" s="9"/>
      <c r="V92" s="9"/>
      <c r="W92" s="9"/>
      <c r="X92" s="9"/>
      <c r="Y92" s="9"/>
      <c r="Z92" s="9"/>
    </row>
    <row r="93" ht="15.75" customHeight="1" spans="1:26">
      <c r="A93" s="9"/>
      <c r="B93" s="9"/>
      <c r="C93" s="9"/>
      <c r="D93" s="9"/>
      <c r="E93" s="10"/>
      <c r="F93" s="9"/>
      <c r="G93" s="22"/>
      <c r="H93" s="9"/>
      <c r="I93" s="9"/>
      <c r="J93" s="9"/>
      <c r="K93" s="9"/>
      <c r="L93" s="9"/>
      <c r="M93" s="9"/>
      <c r="N93" s="9"/>
      <c r="O93" s="9"/>
      <c r="P93" s="9"/>
      <c r="Q93" s="9"/>
      <c r="R93" s="9"/>
      <c r="S93" s="9"/>
      <c r="T93" s="9"/>
      <c r="U93" s="9"/>
      <c r="V93" s="9"/>
      <c r="W93" s="9"/>
      <c r="X93" s="9"/>
      <c r="Y93" s="9"/>
      <c r="Z93" s="9"/>
    </row>
    <row r="94" ht="15.75" customHeight="1" spans="1:26">
      <c r="A94" s="9"/>
      <c r="B94" s="9"/>
      <c r="C94" s="9"/>
      <c r="D94" s="9"/>
      <c r="E94" s="10"/>
      <c r="F94" s="9"/>
      <c r="G94" s="22"/>
      <c r="H94" s="9"/>
      <c r="I94" s="9"/>
      <c r="J94" s="9"/>
      <c r="K94" s="9"/>
      <c r="L94" s="9"/>
      <c r="M94" s="9"/>
      <c r="N94" s="9"/>
      <c r="O94" s="9"/>
      <c r="P94" s="9"/>
      <c r="Q94" s="9"/>
      <c r="R94" s="9"/>
      <c r="S94" s="9"/>
      <c r="T94" s="9"/>
      <c r="U94" s="9"/>
      <c r="V94" s="9"/>
      <c r="W94" s="9"/>
      <c r="X94" s="9"/>
      <c r="Y94" s="9"/>
      <c r="Z94" s="9"/>
    </row>
    <row r="95" ht="15.75" customHeight="1" spans="1:26">
      <c r="A95" s="9"/>
      <c r="B95" s="9"/>
      <c r="C95" s="9"/>
      <c r="D95" s="9"/>
      <c r="E95" s="10"/>
      <c r="F95" s="9"/>
      <c r="G95" s="22"/>
      <c r="H95" s="9"/>
      <c r="I95" s="9"/>
      <c r="J95" s="9"/>
      <c r="K95" s="9"/>
      <c r="L95" s="9"/>
      <c r="M95" s="9"/>
      <c r="N95" s="9"/>
      <c r="O95" s="9"/>
      <c r="P95" s="9"/>
      <c r="Q95" s="9"/>
      <c r="R95" s="9"/>
      <c r="S95" s="9"/>
      <c r="T95" s="9"/>
      <c r="U95" s="9"/>
      <c r="V95" s="9"/>
      <c r="W95" s="9"/>
      <c r="X95" s="9"/>
      <c r="Y95" s="9"/>
      <c r="Z95" s="9"/>
    </row>
    <row r="96" ht="15.75" customHeight="1" spans="1:26">
      <c r="A96" s="9"/>
      <c r="B96" s="9"/>
      <c r="C96" s="9"/>
      <c r="D96" s="9"/>
      <c r="E96" s="10"/>
      <c r="F96" s="9"/>
      <c r="G96" s="22"/>
      <c r="H96" s="9"/>
      <c r="I96" s="9"/>
      <c r="J96" s="9"/>
      <c r="K96" s="9"/>
      <c r="L96" s="9"/>
      <c r="M96" s="9"/>
      <c r="N96" s="9"/>
      <c r="O96" s="9"/>
      <c r="P96" s="9"/>
      <c r="Q96" s="9"/>
      <c r="R96" s="9"/>
      <c r="S96" s="9"/>
      <c r="T96" s="9"/>
      <c r="U96" s="9"/>
      <c r="V96" s="9"/>
      <c r="W96" s="9"/>
      <c r="X96" s="9"/>
      <c r="Y96" s="9"/>
      <c r="Z96" s="9"/>
    </row>
    <row r="97" ht="15.75" customHeight="1" spans="1:26">
      <c r="A97" s="9"/>
      <c r="B97" s="9"/>
      <c r="C97" s="9"/>
      <c r="D97" s="9"/>
      <c r="E97" s="10"/>
      <c r="F97" s="9"/>
      <c r="G97" s="22"/>
      <c r="H97" s="9"/>
      <c r="I97" s="9"/>
      <c r="J97" s="9"/>
      <c r="K97" s="9"/>
      <c r="L97" s="9"/>
      <c r="M97" s="9"/>
      <c r="N97" s="9"/>
      <c r="O97" s="9"/>
      <c r="P97" s="9"/>
      <c r="Q97" s="9"/>
      <c r="R97" s="9"/>
      <c r="S97" s="9"/>
      <c r="T97" s="9"/>
      <c r="U97" s="9"/>
      <c r="V97" s="9"/>
      <c r="W97" s="9"/>
      <c r="X97" s="9"/>
      <c r="Y97" s="9"/>
      <c r="Z97" s="9"/>
    </row>
    <row r="98" ht="15.75" customHeight="1" spans="1:26">
      <c r="A98" s="9"/>
      <c r="B98" s="9"/>
      <c r="C98" s="9"/>
      <c r="D98" s="9"/>
      <c r="E98" s="10"/>
      <c r="F98" s="9"/>
      <c r="G98" s="22"/>
      <c r="H98" s="9"/>
      <c r="I98" s="9"/>
      <c r="J98" s="9"/>
      <c r="K98" s="9"/>
      <c r="L98" s="9"/>
      <c r="M98" s="9"/>
      <c r="N98" s="9"/>
      <c r="O98" s="9"/>
      <c r="P98" s="9"/>
      <c r="Q98" s="9"/>
      <c r="R98" s="9"/>
      <c r="S98" s="9"/>
      <c r="T98" s="9"/>
      <c r="U98" s="9"/>
      <c r="V98" s="9"/>
      <c r="W98" s="9"/>
      <c r="X98" s="9"/>
      <c r="Y98" s="9"/>
      <c r="Z98" s="9"/>
    </row>
    <row r="99" ht="15.75" customHeight="1" spans="1:26">
      <c r="A99" s="9"/>
      <c r="B99" s="9"/>
      <c r="C99" s="9"/>
      <c r="D99" s="9"/>
      <c r="E99" s="10"/>
      <c r="F99" s="9"/>
      <c r="G99" s="22"/>
      <c r="H99" s="9"/>
      <c r="I99" s="9"/>
      <c r="J99" s="9"/>
      <c r="K99" s="9"/>
      <c r="L99" s="9"/>
      <c r="M99" s="9"/>
      <c r="N99" s="9"/>
      <c r="O99" s="9"/>
      <c r="P99" s="9"/>
      <c r="Q99" s="9"/>
      <c r="R99" s="9"/>
      <c r="S99" s="9"/>
      <c r="T99" s="9"/>
      <c r="U99" s="9"/>
      <c r="V99" s="9"/>
      <c r="W99" s="9"/>
      <c r="X99" s="9"/>
      <c r="Y99" s="9"/>
      <c r="Z99" s="9"/>
    </row>
    <row r="100" ht="15.75" customHeight="1" spans="1:26">
      <c r="A100" s="9"/>
      <c r="B100" s="9"/>
      <c r="C100" s="9"/>
      <c r="D100" s="9"/>
      <c r="E100" s="10"/>
      <c r="F100" s="9"/>
      <c r="G100" s="22"/>
      <c r="H100" s="9"/>
      <c r="I100" s="9"/>
      <c r="J100" s="9"/>
      <c r="K100" s="9"/>
      <c r="L100" s="9"/>
      <c r="M100" s="9"/>
      <c r="N100" s="9"/>
      <c r="O100" s="9"/>
      <c r="P100" s="9"/>
      <c r="Q100" s="9"/>
      <c r="R100" s="9"/>
      <c r="S100" s="9"/>
      <c r="T100" s="9"/>
      <c r="U100" s="9"/>
      <c r="V100" s="9"/>
      <c r="W100" s="9"/>
      <c r="X100" s="9"/>
      <c r="Y100" s="9"/>
      <c r="Z100" s="9"/>
    </row>
    <row r="101" ht="15.75" customHeight="1" spans="1:26">
      <c r="A101" s="9"/>
      <c r="B101" s="9"/>
      <c r="C101" s="9"/>
      <c r="D101" s="9"/>
      <c r="E101" s="10"/>
      <c r="F101" s="9"/>
      <c r="G101" s="22"/>
      <c r="H101" s="9"/>
      <c r="I101" s="9"/>
      <c r="J101" s="9"/>
      <c r="K101" s="9"/>
      <c r="L101" s="9"/>
      <c r="M101" s="9"/>
      <c r="N101" s="9"/>
      <c r="O101" s="9"/>
      <c r="P101" s="9"/>
      <c r="Q101" s="9"/>
      <c r="R101" s="9"/>
      <c r="S101" s="9"/>
      <c r="T101" s="9"/>
      <c r="U101" s="9"/>
      <c r="V101" s="9"/>
      <c r="W101" s="9"/>
      <c r="X101" s="9"/>
      <c r="Y101" s="9"/>
      <c r="Z101" s="9"/>
    </row>
    <row r="102" ht="15.75" customHeight="1" spans="1:26">
      <c r="A102" s="9"/>
      <c r="B102" s="9"/>
      <c r="C102" s="9"/>
      <c r="D102" s="9"/>
      <c r="E102" s="10"/>
      <c r="F102" s="9"/>
      <c r="G102" s="22"/>
      <c r="H102" s="9"/>
      <c r="I102" s="9"/>
      <c r="J102" s="9"/>
      <c r="K102" s="9"/>
      <c r="L102" s="9"/>
      <c r="M102" s="9"/>
      <c r="N102" s="9"/>
      <c r="O102" s="9"/>
      <c r="P102" s="9"/>
      <c r="Q102" s="9"/>
      <c r="R102" s="9"/>
      <c r="S102" s="9"/>
      <c r="T102" s="9"/>
      <c r="U102" s="9"/>
      <c r="V102" s="9"/>
      <c r="W102" s="9"/>
      <c r="X102" s="9"/>
      <c r="Y102" s="9"/>
      <c r="Z102" s="9"/>
    </row>
    <row r="103" ht="15.75" customHeight="1" spans="1:26">
      <c r="A103" s="9"/>
      <c r="B103" s="9"/>
      <c r="C103" s="9"/>
      <c r="D103" s="9"/>
      <c r="E103" s="10"/>
      <c r="F103" s="9"/>
      <c r="G103" s="22"/>
      <c r="H103" s="9"/>
      <c r="I103" s="9"/>
      <c r="J103" s="9"/>
      <c r="K103" s="9"/>
      <c r="L103" s="9"/>
      <c r="M103" s="9"/>
      <c r="N103" s="9"/>
      <c r="O103" s="9"/>
      <c r="P103" s="9"/>
      <c r="Q103" s="9"/>
      <c r="R103" s="9"/>
      <c r="S103" s="9"/>
      <c r="T103" s="9"/>
      <c r="U103" s="9"/>
      <c r="V103" s="9"/>
      <c r="W103" s="9"/>
      <c r="X103" s="9"/>
      <c r="Y103" s="9"/>
      <c r="Z103" s="9"/>
    </row>
    <row r="104" ht="15.75" customHeight="1" spans="1:26">
      <c r="A104" s="9"/>
      <c r="B104" s="9"/>
      <c r="C104" s="9"/>
      <c r="D104" s="9"/>
      <c r="E104" s="10"/>
      <c r="F104" s="9"/>
      <c r="G104" s="22"/>
      <c r="H104" s="9"/>
      <c r="I104" s="9"/>
      <c r="J104" s="9"/>
      <c r="K104" s="9"/>
      <c r="L104" s="9"/>
      <c r="M104" s="9"/>
      <c r="N104" s="9"/>
      <c r="O104" s="9"/>
      <c r="P104" s="9"/>
      <c r="Q104" s="9"/>
      <c r="R104" s="9"/>
      <c r="S104" s="9"/>
      <c r="T104" s="9"/>
      <c r="U104" s="9"/>
      <c r="V104" s="9"/>
      <c r="W104" s="9"/>
      <c r="X104" s="9"/>
      <c r="Y104" s="9"/>
      <c r="Z104" s="9"/>
    </row>
    <row r="105" ht="15.75" customHeight="1" spans="1:26">
      <c r="A105" s="9"/>
      <c r="B105" s="9"/>
      <c r="C105" s="9"/>
      <c r="D105" s="9"/>
      <c r="E105" s="10"/>
      <c r="F105" s="9"/>
      <c r="G105" s="22"/>
      <c r="H105" s="9"/>
      <c r="I105" s="9"/>
      <c r="J105" s="9"/>
      <c r="K105" s="9"/>
      <c r="L105" s="9"/>
      <c r="M105" s="9"/>
      <c r="N105" s="9"/>
      <c r="O105" s="9"/>
      <c r="P105" s="9"/>
      <c r="Q105" s="9"/>
      <c r="R105" s="9"/>
      <c r="S105" s="9"/>
      <c r="T105" s="9"/>
      <c r="U105" s="9"/>
      <c r="V105" s="9"/>
      <c r="W105" s="9"/>
      <c r="X105" s="9"/>
      <c r="Y105" s="9"/>
      <c r="Z105" s="9"/>
    </row>
    <row r="106" ht="15.75" customHeight="1" spans="1:26">
      <c r="A106" s="9"/>
      <c r="B106" s="9"/>
      <c r="C106" s="9"/>
      <c r="D106" s="9"/>
      <c r="E106" s="10"/>
      <c r="F106" s="9"/>
      <c r="G106" s="22"/>
      <c r="H106" s="9"/>
      <c r="I106" s="9"/>
      <c r="J106" s="9"/>
      <c r="K106" s="9"/>
      <c r="L106" s="9"/>
      <c r="M106" s="9"/>
      <c r="N106" s="9"/>
      <c r="O106" s="9"/>
      <c r="P106" s="9"/>
      <c r="Q106" s="9"/>
      <c r="R106" s="9"/>
      <c r="S106" s="9"/>
      <c r="T106" s="9"/>
      <c r="U106" s="9"/>
      <c r="V106" s="9"/>
      <c r="W106" s="9"/>
      <c r="X106" s="9"/>
      <c r="Y106" s="9"/>
      <c r="Z106" s="9"/>
    </row>
    <row r="107" ht="15.75" customHeight="1" spans="1:26">
      <c r="A107" s="9"/>
      <c r="B107" s="9"/>
      <c r="C107" s="9"/>
      <c r="D107" s="9"/>
      <c r="E107" s="10"/>
      <c r="F107" s="9"/>
      <c r="G107" s="22"/>
      <c r="H107" s="9"/>
      <c r="I107" s="9"/>
      <c r="J107" s="9"/>
      <c r="K107" s="9"/>
      <c r="L107" s="9"/>
      <c r="M107" s="9"/>
      <c r="N107" s="9"/>
      <c r="O107" s="9"/>
      <c r="P107" s="9"/>
      <c r="Q107" s="9"/>
      <c r="R107" s="9"/>
      <c r="S107" s="9"/>
      <c r="T107" s="9"/>
      <c r="U107" s="9"/>
      <c r="V107" s="9"/>
      <c r="W107" s="9"/>
      <c r="X107" s="9"/>
      <c r="Y107" s="9"/>
      <c r="Z107" s="9"/>
    </row>
    <row r="108" ht="15.75" customHeight="1" spans="1:26">
      <c r="A108" s="9"/>
      <c r="B108" s="9"/>
      <c r="C108" s="9"/>
      <c r="D108" s="9"/>
      <c r="E108" s="10"/>
      <c r="F108" s="9"/>
      <c r="G108" s="22"/>
      <c r="H108" s="9"/>
      <c r="I108" s="9"/>
      <c r="J108" s="9"/>
      <c r="K108" s="9"/>
      <c r="L108" s="9"/>
      <c r="M108" s="9"/>
      <c r="N108" s="9"/>
      <c r="O108" s="9"/>
      <c r="P108" s="9"/>
      <c r="Q108" s="9"/>
      <c r="R108" s="9"/>
      <c r="S108" s="9"/>
      <c r="T108" s="9"/>
      <c r="U108" s="9"/>
      <c r="V108" s="9"/>
      <c r="W108" s="9"/>
      <c r="X108" s="9"/>
      <c r="Y108" s="9"/>
      <c r="Z108" s="9"/>
    </row>
    <row r="109" ht="15.75" customHeight="1" spans="1:26">
      <c r="A109" s="9"/>
      <c r="B109" s="9"/>
      <c r="C109" s="9"/>
      <c r="D109" s="9"/>
      <c r="E109" s="10"/>
      <c r="F109" s="9"/>
      <c r="G109" s="22"/>
      <c r="H109" s="9"/>
      <c r="I109" s="9"/>
      <c r="J109" s="9"/>
      <c r="K109" s="9"/>
      <c r="L109" s="9"/>
      <c r="M109" s="9"/>
      <c r="N109" s="9"/>
      <c r="O109" s="9"/>
      <c r="P109" s="9"/>
      <c r="Q109" s="9"/>
      <c r="R109" s="9"/>
      <c r="S109" s="9"/>
      <c r="T109" s="9"/>
      <c r="U109" s="9"/>
      <c r="V109" s="9"/>
      <c r="W109" s="9"/>
      <c r="X109" s="9"/>
      <c r="Y109" s="9"/>
      <c r="Z109" s="9"/>
    </row>
    <row r="110" ht="15.75" customHeight="1" spans="1:26">
      <c r="A110" s="9"/>
      <c r="B110" s="9"/>
      <c r="C110" s="9"/>
      <c r="D110" s="9"/>
      <c r="E110" s="10"/>
      <c r="F110" s="9"/>
      <c r="G110" s="22"/>
      <c r="H110" s="9"/>
      <c r="I110" s="9"/>
      <c r="J110" s="9"/>
      <c r="K110" s="9"/>
      <c r="L110" s="9"/>
      <c r="M110" s="9"/>
      <c r="N110" s="9"/>
      <c r="O110" s="9"/>
      <c r="P110" s="9"/>
      <c r="Q110" s="9"/>
      <c r="R110" s="9"/>
      <c r="S110" s="9"/>
      <c r="T110" s="9"/>
      <c r="U110" s="9"/>
      <c r="V110" s="9"/>
      <c r="W110" s="9"/>
      <c r="X110" s="9"/>
      <c r="Y110" s="9"/>
      <c r="Z110" s="9"/>
    </row>
    <row r="111" ht="15.75" customHeight="1" spans="1:26">
      <c r="A111" s="9"/>
      <c r="B111" s="9"/>
      <c r="C111" s="9"/>
      <c r="D111" s="9"/>
      <c r="E111" s="10"/>
      <c r="F111" s="9"/>
      <c r="G111" s="22"/>
      <c r="H111" s="9"/>
      <c r="I111" s="9"/>
      <c r="J111" s="9"/>
      <c r="K111" s="9"/>
      <c r="L111" s="9"/>
      <c r="M111" s="9"/>
      <c r="N111" s="9"/>
      <c r="O111" s="9"/>
      <c r="P111" s="9"/>
      <c r="Q111" s="9"/>
      <c r="R111" s="9"/>
      <c r="S111" s="9"/>
      <c r="T111" s="9"/>
      <c r="U111" s="9"/>
      <c r="V111" s="9"/>
      <c r="W111" s="9"/>
      <c r="X111" s="9"/>
      <c r="Y111" s="9"/>
      <c r="Z111" s="9"/>
    </row>
    <row r="112" ht="15.75" customHeight="1" spans="1:26">
      <c r="A112" s="9"/>
      <c r="B112" s="9"/>
      <c r="C112" s="9"/>
      <c r="D112" s="9"/>
      <c r="E112" s="10"/>
      <c r="F112" s="9"/>
      <c r="G112" s="22"/>
      <c r="H112" s="9"/>
      <c r="I112" s="9"/>
      <c r="J112" s="9"/>
      <c r="K112" s="9"/>
      <c r="L112" s="9"/>
      <c r="M112" s="9"/>
      <c r="N112" s="9"/>
      <c r="O112" s="9"/>
      <c r="P112" s="9"/>
      <c r="Q112" s="9"/>
      <c r="R112" s="9"/>
      <c r="S112" s="9"/>
      <c r="T112" s="9"/>
      <c r="U112" s="9"/>
      <c r="V112" s="9"/>
      <c r="W112" s="9"/>
      <c r="X112" s="9"/>
      <c r="Y112" s="9"/>
      <c r="Z112" s="9"/>
    </row>
    <row r="113" ht="15.75" customHeight="1" spans="1:26">
      <c r="A113" s="9"/>
      <c r="B113" s="9"/>
      <c r="C113" s="9"/>
      <c r="D113" s="9"/>
      <c r="E113" s="10"/>
      <c r="F113" s="9"/>
      <c r="G113" s="22"/>
      <c r="H113" s="9"/>
      <c r="I113" s="9"/>
      <c r="J113" s="9"/>
      <c r="K113" s="9"/>
      <c r="L113" s="9"/>
      <c r="M113" s="9"/>
      <c r="N113" s="9"/>
      <c r="O113" s="9"/>
      <c r="P113" s="9"/>
      <c r="Q113" s="9"/>
      <c r="R113" s="9"/>
      <c r="S113" s="9"/>
      <c r="T113" s="9"/>
      <c r="U113" s="9"/>
      <c r="V113" s="9"/>
      <c r="W113" s="9"/>
      <c r="X113" s="9"/>
      <c r="Y113" s="9"/>
      <c r="Z113" s="9"/>
    </row>
    <row r="114" ht="15.75" customHeight="1" spans="1:26">
      <c r="A114" s="9"/>
      <c r="B114" s="9"/>
      <c r="C114" s="9"/>
      <c r="D114" s="9"/>
      <c r="E114" s="10"/>
      <c r="F114" s="9"/>
      <c r="G114" s="22"/>
      <c r="H114" s="9"/>
      <c r="I114" s="9"/>
      <c r="J114" s="9"/>
      <c r="K114" s="9"/>
      <c r="L114" s="9"/>
      <c r="M114" s="9"/>
      <c r="N114" s="9"/>
      <c r="O114" s="9"/>
      <c r="P114" s="9"/>
      <c r="Q114" s="9"/>
      <c r="R114" s="9"/>
      <c r="S114" s="9"/>
      <c r="T114" s="9"/>
      <c r="U114" s="9"/>
      <c r="V114" s="9"/>
      <c r="W114" s="9"/>
      <c r="X114" s="9"/>
      <c r="Y114" s="9"/>
      <c r="Z114" s="9"/>
    </row>
    <row r="115" ht="15.75" customHeight="1" spans="1:26">
      <c r="A115" s="9"/>
      <c r="B115" s="9"/>
      <c r="C115" s="9"/>
      <c r="D115" s="9"/>
      <c r="E115" s="10"/>
      <c r="F115" s="9"/>
      <c r="G115" s="22"/>
      <c r="H115" s="9"/>
      <c r="I115" s="9"/>
      <c r="J115" s="9"/>
      <c r="K115" s="9"/>
      <c r="L115" s="9"/>
      <c r="M115" s="9"/>
      <c r="N115" s="9"/>
      <c r="O115" s="9"/>
      <c r="P115" s="9"/>
      <c r="Q115" s="9"/>
      <c r="R115" s="9"/>
      <c r="S115" s="9"/>
      <c r="T115" s="9"/>
      <c r="U115" s="9"/>
      <c r="V115" s="9"/>
      <c r="W115" s="9"/>
      <c r="X115" s="9"/>
      <c r="Y115" s="9"/>
      <c r="Z115" s="9"/>
    </row>
    <row r="116" ht="15.75" customHeight="1" spans="1:26">
      <c r="A116" s="9"/>
      <c r="B116" s="9"/>
      <c r="C116" s="9"/>
      <c r="D116" s="9"/>
      <c r="E116" s="10"/>
      <c r="F116" s="9"/>
      <c r="G116" s="22"/>
      <c r="H116" s="9"/>
      <c r="I116" s="9"/>
      <c r="J116" s="9"/>
      <c r="K116" s="9"/>
      <c r="L116" s="9"/>
      <c r="M116" s="9"/>
      <c r="N116" s="9"/>
      <c r="O116" s="9"/>
      <c r="P116" s="9"/>
      <c r="Q116" s="9"/>
      <c r="R116" s="9"/>
      <c r="S116" s="9"/>
      <c r="T116" s="9"/>
      <c r="U116" s="9"/>
      <c r="V116" s="9"/>
      <c r="W116" s="9"/>
      <c r="X116" s="9"/>
      <c r="Y116" s="9"/>
      <c r="Z116" s="9"/>
    </row>
    <row r="117" ht="15.75" customHeight="1" spans="1:26">
      <c r="A117" s="9"/>
      <c r="B117" s="9"/>
      <c r="C117" s="9"/>
      <c r="D117" s="9"/>
      <c r="E117" s="10"/>
      <c r="F117" s="9"/>
      <c r="G117" s="22"/>
      <c r="H117" s="9"/>
      <c r="I117" s="9"/>
      <c r="J117" s="9"/>
      <c r="K117" s="9"/>
      <c r="L117" s="9"/>
      <c r="M117" s="9"/>
      <c r="N117" s="9"/>
      <c r="O117" s="9"/>
      <c r="P117" s="9"/>
      <c r="Q117" s="9"/>
      <c r="R117" s="9"/>
      <c r="S117" s="9"/>
      <c r="T117" s="9"/>
      <c r="U117" s="9"/>
      <c r="V117" s="9"/>
      <c r="W117" s="9"/>
      <c r="X117" s="9"/>
      <c r="Y117" s="9"/>
      <c r="Z117" s="9"/>
    </row>
    <row r="118" ht="15.75" customHeight="1" spans="1:26">
      <c r="A118" s="9"/>
      <c r="B118" s="9"/>
      <c r="C118" s="9"/>
      <c r="D118" s="9"/>
      <c r="E118" s="10"/>
      <c r="F118" s="9"/>
      <c r="G118" s="22"/>
      <c r="H118" s="9"/>
      <c r="I118" s="9"/>
      <c r="J118" s="9"/>
      <c r="K118" s="9"/>
      <c r="L118" s="9"/>
      <c r="M118" s="9"/>
      <c r="N118" s="9"/>
      <c r="O118" s="9"/>
      <c r="P118" s="9"/>
      <c r="Q118" s="9"/>
      <c r="R118" s="9"/>
      <c r="S118" s="9"/>
      <c r="T118" s="9"/>
      <c r="U118" s="9"/>
      <c r="V118" s="9"/>
      <c r="W118" s="9"/>
      <c r="X118" s="9"/>
      <c r="Y118" s="9"/>
      <c r="Z118" s="9"/>
    </row>
    <row r="119" ht="15.75" customHeight="1" spans="1:26">
      <c r="A119" s="9"/>
      <c r="B119" s="9"/>
      <c r="C119" s="9"/>
      <c r="D119" s="9"/>
      <c r="E119" s="10"/>
      <c r="F119" s="9"/>
      <c r="G119" s="22"/>
      <c r="H119" s="9"/>
      <c r="I119" s="9"/>
      <c r="J119" s="9"/>
      <c r="K119" s="9"/>
      <c r="L119" s="9"/>
      <c r="M119" s="9"/>
      <c r="N119" s="9"/>
      <c r="O119" s="9"/>
      <c r="P119" s="9"/>
      <c r="Q119" s="9"/>
      <c r="R119" s="9"/>
      <c r="S119" s="9"/>
      <c r="T119" s="9"/>
      <c r="U119" s="9"/>
      <c r="V119" s="9"/>
      <c r="W119" s="9"/>
      <c r="X119" s="9"/>
      <c r="Y119" s="9"/>
      <c r="Z119" s="9"/>
    </row>
    <row r="120" ht="15.75" customHeight="1" spans="1:26">
      <c r="A120" s="9"/>
      <c r="B120" s="9"/>
      <c r="C120" s="9"/>
      <c r="D120" s="9"/>
      <c r="E120" s="10"/>
      <c r="F120" s="9"/>
      <c r="G120" s="22"/>
      <c r="H120" s="9"/>
      <c r="I120" s="9"/>
      <c r="J120" s="9"/>
      <c r="K120" s="9"/>
      <c r="L120" s="9"/>
      <c r="M120" s="9"/>
      <c r="N120" s="9"/>
      <c r="O120" s="9"/>
      <c r="P120" s="9"/>
      <c r="Q120" s="9"/>
      <c r="R120" s="9"/>
      <c r="S120" s="9"/>
      <c r="T120" s="9"/>
      <c r="U120" s="9"/>
      <c r="V120" s="9"/>
      <c r="W120" s="9"/>
      <c r="X120" s="9"/>
      <c r="Y120" s="9"/>
      <c r="Z120" s="9"/>
    </row>
    <row r="121" ht="15.75" customHeight="1" spans="1:26">
      <c r="A121" s="9"/>
      <c r="B121" s="9"/>
      <c r="C121" s="9"/>
      <c r="D121" s="9"/>
      <c r="E121" s="10"/>
      <c r="F121" s="9"/>
      <c r="G121" s="22"/>
      <c r="H121" s="9"/>
      <c r="I121" s="9"/>
      <c r="J121" s="9"/>
      <c r="K121" s="9"/>
      <c r="L121" s="9"/>
      <c r="M121" s="9"/>
      <c r="N121" s="9"/>
      <c r="O121" s="9"/>
      <c r="P121" s="9"/>
      <c r="Q121" s="9"/>
      <c r="R121" s="9"/>
      <c r="S121" s="9"/>
      <c r="T121" s="9"/>
      <c r="U121" s="9"/>
      <c r="V121" s="9"/>
      <c r="W121" s="9"/>
      <c r="X121" s="9"/>
      <c r="Y121" s="9"/>
      <c r="Z121" s="9"/>
    </row>
    <row r="122" ht="15.75" customHeight="1" spans="1:26">
      <c r="A122" s="9"/>
      <c r="B122" s="9"/>
      <c r="C122" s="9"/>
      <c r="D122" s="9"/>
      <c r="E122" s="10"/>
      <c r="F122" s="9"/>
      <c r="G122" s="22"/>
      <c r="H122" s="9"/>
      <c r="I122" s="9"/>
      <c r="J122" s="9"/>
      <c r="K122" s="9"/>
      <c r="L122" s="9"/>
      <c r="M122" s="9"/>
      <c r="N122" s="9"/>
      <c r="O122" s="9"/>
      <c r="P122" s="9"/>
      <c r="Q122" s="9"/>
      <c r="R122" s="9"/>
      <c r="S122" s="9"/>
      <c r="T122" s="9"/>
      <c r="U122" s="9"/>
      <c r="V122" s="9"/>
      <c r="W122" s="9"/>
      <c r="X122" s="9"/>
      <c r="Y122" s="9"/>
      <c r="Z122" s="9"/>
    </row>
    <row r="123" ht="15.75" customHeight="1" spans="1:26">
      <c r="A123" s="9"/>
      <c r="B123" s="9"/>
      <c r="C123" s="9"/>
      <c r="D123" s="9"/>
      <c r="E123" s="10"/>
      <c r="F123" s="9"/>
      <c r="G123" s="22"/>
      <c r="H123" s="9"/>
      <c r="I123" s="9"/>
      <c r="J123" s="9"/>
      <c r="K123" s="9"/>
      <c r="L123" s="9"/>
      <c r="M123" s="9"/>
      <c r="N123" s="9"/>
      <c r="O123" s="9"/>
      <c r="P123" s="9"/>
      <c r="Q123" s="9"/>
      <c r="R123" s="9"/>
      <c r="S123" s="9"/>
      <c r="T123" s="9"/>
      <c r="U123" s="9"/>
      <c r="V123" s="9"/>
      <c r="W123" s="9"/>
      <c r="X123" s="9"/>
      <c r="Y123" s="9"/>
      <c r="Z123" s="9"/>
    </row>
    <row r="124" ht="15.75" customHeight="1" spans="1:26">
      <c r="A124" s="9"/>
      <c r="B124" s="9"/>
      <c r="C124" s="9"/>
      <c r="D124" s="9"/>
      <c r="E124" s="10"/>
      <c r="F124" s="9"/>
      <c r="G124" s="22"/>
      <c r="H124" s="9"/>
      <c r="I124" s="9"/>
      <c r="J124" s="9"/>
      <c r="K124" s="9"/>
      <c r="L124" s="9"/>
      <c r="M124" s="9"/>
      <c r="N124" s="9"/>
      <c r="O124" s="9"/>
      <c r="P124" s="9"/>
      <c r="Q124" s="9"/>
      <c r="R124" s="9"/>
      <c r="S124" s="9"/>
      <c r="T124" s="9"/>
      <c r="U124" s="9"/>
      <c r="V124" s="9"/>
      <c r="W124" s="9"/>
      <c r="X124" s="9"/>
      <c r="Y124" s="9"/>
      <c r="Z124" s="9"/>
    </row>
    <row r="125" ht="15.75" customHeight="1" spans="1:26">
      <c r="A125" s="9"/>
      <c r="B125" s="9"/>
      <c r="C125" s="9"/>
      <c r="D125" s="9"/>
      <c r="E125" s="10"/>
      <c r="F125" s="9"/>
      <c r="G125" s="22"/>
      <c r="H125" s="9"/>
      <c r="I125" s="9"/>
      <c r="J125" s="9"/>
      <c r="K125" s="9"/>
      <c r="L125" s="9"/>
      <c r="M125" s="9"/>
      <c r="N125" s="9"/>
      <c r="O125" s="9"/>
      <c r="P125" s="9"/>
      <c r="Q125" s="9"/>
      <c r="R125" s="9"/>
      <c r="S125" s="9"/>
      <c r="T125" s="9"/>
      <c r="U125" s="9"/>
      <c r="V125" s="9"/>
      <c r="W125" s="9"/>
      <c r="X125" s="9"/>
      <c r="Y125" s="9"/>
      <c r="Z125" s="9"/>
    </row>
    <row r="126" ht="15.75" customHeight="1" spans="1:26">
      <c r="A126" s="9"/>
      <c r="B126" s="9"/>
      <c r="C126" s="9"/>
      <c r="D126" s="9"/>
      <c r="E126" s="10"/>
      <c r="F126" s="9"/>
      <c r="G126" s="22"/>
      <c r="H126" s="9"/>
      <c r="I126" s="9"/>
      <c r="J126" s="9"/>
      <c r="K126" s="9"/>
      <c r="L126" s="9"/>
      <c r="M126" s="9"/>
      <c r="N126" s="9"/>
      <c r="O126" s="9"/>
      <c r="P126" s="9"/>
      <c r="Q126" s="9"/>
      <c r="R126" s="9"/>
      <c r="S126" s="9"/>
      <c r="T126" s="9"/>
      <c r="U126" s="9"/>
      <c r="V126" s="9"/>
      <c r="W126" s="9"/>
      <c r="X126" s="9"/>
      <c r="Y126" s="9"/>
      <c r="Z126" s="9"/>
    </row>
    <row r="127" ht="15.75" customHeight="1" spans="1:26">
      <c r="A127" s="9"/>
      <c r="B127" s="9"/>
      <c r="C127" s="9"/>
      <c r="D127" s="9"/>
      <c r="E127" s="10"/>
      <c r="F127" s="9"/>
      <c r="G127" s="22"/>
      <c r="H127" s="9"/>
      <c r="I127" s="9"/>
      <c r="J127" s="9"/>
      <c r="K127" s="9"/>
      <c r="L127" s="9"/>
      <c r="M127" s="9"/>
      <c r="N127" s="9"/>
      <c r="O127" s="9"/>
      <c r="P127" s="9"/>
      <c r="Q127" s="9"/>
      <c r="R127" s="9"/>
      <c r="S127" s="9"/>
      <c r="T127" s="9"/>
      <c r="U127" s="9"/>
      <c r="V127" s="9"/>
      <c r="W127" s="9"/>
      <c r="X127" s="9"/>
      <c r="Y127" s="9"/>
      <c r="Z127" s="9"/>
    </row>
    <row r="128" ht="15.75" customHeight="1" spans="1:26">
      <c r="A128" s="9"/>
      <c r="B128" s="9"/>
      <c r="C128" s="9"/>
      <c r="D128" s="9"/>
      <c r="E128" s="10"/>
      <c r="F128" s="9"/>
      <c r="G128" s="22"/>
      <c r="H128" s="9"/>
      <c r="I128" s="9"/>
      <c r="J128" s="9"/>
      <c r="K128" s="9"/>
      <c r="L128" s="9"/>
      <c r="M128" s="9"/>
      <c r="N128" s="9"/>
      <c r="O128" s="9"/>
      <c r="P128" s="9"/>
      <c r="Q128" s="9"/>
      <c r="R128" s="9"/>
      <c r="S128" s="9"/>
      <c r="T128" s="9"/>
      <c r="U128" s="9"/>
      <c r="V128" s="9"/>
      <c r="W128" s="9"/>
      <c r="X128" s="9"/>
      <c r="Y128" s="9"/>
      <c r="Z128" s="9"/>
    </row>
    <row r="129" ht="15.75" customHeight="1" spans="1:26">
      <c r="A129" s="9"/>
      <c r="B129" s="9"/>
      <c r="C129" s="9"/>
      <c r="D129" s="9"/>
      <c r="E129" s="10"/>
      <c r="F129" s="9"/>
      <c r="G129" s="22"/>
      <c r="H129" s="9"/>
      <c r="I129" s="9"/>
      <c r="J129" s="9"/>
      <c r="K129" s="9"/>
      <c r="L129" s="9"/>
      <c r="M129" s="9"/>
      <c r="N129" s="9"/>
      <c r="O129" s="9"/>
      <c r="P129" s="9"/>
      <c r="Q129" s="9"/>
      <c r="R129" s="9"/>
      <c r="S129" s="9"/>
      <c r="T129" s="9"/>
      <c r="U129" s="9"/>
      <c r="V129" s="9"/>
      <c r="W129" s="9"/>
      <c r="X129" s="9"/>
      <c r="Y129" s="9"/>
      <c r="Z129" s="9"/>
    </row>
    <row r="130" ht="15.75" customHeight="1" spans="1:26">
      <c r="A130" s="9"/>
      <c r="B130" s="9"/>
      <c r="C130" s="9"/>
      <c r="D130" s="9"/>
      <c r="E130" s="10"/>
      <c r="F130" s="9"/>
      <c r="G130" s="22"/>
      <c r="H130" s="9"/>
      <c r="I130" s="9"/>
      <c r="J130" s="9"/>
      <c r="K130" s="9"/>
      <c r="L130" s="9"/>
      <c r="M130" s="9"/>
      <c r="N130" s="9"/>
      <c r="O130" s="9"/>
      <c r="P130" s="9"/>
      <c r="Q130" s="9"/>
      <c r="R130" s="9"/>
      <c r="S130" s="9"/>
      <c r="T130" s="9"/>
      <c r="U130" s="9"/>
      <c r="V130" s="9"/>
      <c r="W130" s="9"/>
      <c r="X130" s="9"/>
      <c r="Y130" s="9"/>
      <c r="Z130" s="9"/>
    </row>
    <row r="131" ht="15.75" customHeight="1" spans="1:26">
      <c r="A131" s="9"/>
      <c r="B131" s="9"/>
      <c r="C131" s="9"/>
      <c r="D131" s="9"/>
      <c r="E131" s="10"/>
      <c r="F131" s="9"/>
      <c r="G131" s="22"/>
      <c r="H131" s="9"/>
      <c r="I131" s="9"/>
      <c r="J131" s="9"/>
      <c r="K131" s="9"/>
      <c r="L131" s="9"/>
      <c r="M131" s="9"/>
      <c r="N131" s="9"/>
      <c r="O131" s="9"/>
      <c r="P131" s="9"/>
      <c r="Q131" s="9"/>
      <c r="R131" s="9"/>
      <c r="S131" s="9"/>
      <c r="T131" s="9"/>
      <c r="U131" s="9"/>
      <c r="V131" s="9"/>
      <c r="W131" s="9"/>
      <c r="X131" s="9"/>
      <c r="Y131" s="9"/>
      <c r="Z131" s="9"/>
    </row>
    <row r="132" ht="15.75" customHeight="1" spans="1:26">
      <c r="A132" s="9"/>
      <c r="B132" s="9"/>
      <c r="C132" s="9"/>
      <c r="D132" s="9"/>
      <c r="E132" s="10"/>
      <c r="F132" s="9"/>
      <c r="G132" s="22"/>
      <c r="H132" s="9"/>
      <c r="I132" s="9"/>
      <c r="J132" s="9"/>
      <c r="K132" s="9"/>
      <c r="L132" s="9"/>
      <c r="M132" s="9"/>
      <c r="N132" s="9"/>
      <c r="O132" s="9"/>
      <c r="P132" s="9"/>
      <c r="Q132" s="9"/>
      <c r="R132" s="9"/>
      <c r="S132" s="9"/>
      <c r="T132" s="9"/>
      <c r="U132" s="9"/>
      <c r="V132" s="9"/>
      <c r="W132" s="9"/>
      <c r="X132" s="9"/>
      <c r="Y132" s="9"/>
      <c r="Z132" s="9"/>
    </row>
    <row r="133" ht="15.75" customHeight="1" spans="1:26">
      <c r="A133" s="9"/>
      <c r="B133" s="9"/>
      <c r="C133" s="9"/>
      <c r="D133" s="9"/>
      <c r="E133" s="10"/>
      <c r="F133" s="9"/>
      <c r="G133" s="22"/>
      <c r="H133" s="9"/>
      <c r="I133" s="9"/>
      <c r="J133" s="9"/>
      <c r="K133" s="9"/>
      <c r="L133" s="9"/>
      <c r="M133" s="9"/>
      <c r="N133" s="9"/>
      <c r="O133" s="9"/>
      <c r="P133" s="9"/>
      <c r="Q133" s="9"/>
      <c r="R133" s="9"/>
      <c r="S133" s="9"/>
      <c r="T133" s="9"/>
      <c r="U133" s="9"/>
      <c r="V133" s="9"/>
      <c r="W133" s="9"/>
      <c r="X133" s="9"/>
      <c r="Y133" s="9"/>
      <c r="Z133" s="9"/>
    </row>
    <row r="134" ht="15.75" customHeight="1" spans="1:26">
      <c r="A134" s="9"/>
      <c r="B134" s="9"/>
      <c r="C134" s="9"/>
      <c r="D134" s="9"/>
      <c r="E134" s="10"/>
      <c r="F134" s="9"/>
      <c r="G134" s="22"/>
      <c r="H134" s="9"/>
      <c r="I134" s="9"/>
      <c r="J134" s="9"/>
      <c r="K134" s="9"/>
      <c r="L134" s="9"/>
      <c r="M134" s="9"/>
      <c r="N134" s="9"/>
      <c r="O134" s="9"/>
      <c r="P134" s="9"/>
      <c r="Q134" s="9"/>
      <c r="R134" s="9"/>
      <c r="S134" s="9"/>
      <c r="T134" s="9"/>
      <c r="U134" s="9"/>
      <c r="V134" s="9"/>
      <c r="W134" s="9"/>
      <c r="X134" s="9"/>
      <c r="Y134" s="9"/>
      <c r="Z134" s="9"/>
    </row>
    <row r="135" ht="15.75" customHeight="1" spans="1:26">
      <c r="A135" s="9"/>
      <c r="B135" s="9"/>
      <c r="C135" s="9"/>
      <c r="D135" s="9"/>
      <c r="E135" s="10"/>
      <c r="F135" s="9"/>
      <c r="G135" s="22"/>
      <c r="H135" s="9"/>
      <c r="I135" s="9"/>
      <c r="J135" s="9"/>
      <c r="K135" s="9"/>
      <c r="L135" s="9"/>
      <c r="M135" s="9"/>
      <c r="N135" s="9"/>
      <c r="O135" s="9"/>
      <c r="P135" s="9"/>
      <c r="Q135" s="9"/>
      <c r="R135" s="9"/>
      <c r="S135" s="9"/>
      <c r="T135" s="9"/>
      <c r="U135" s="9"/>
      <c r="V135" s="9"/>
      <c r="W135" s="9"/>
      <c r="X135" s="9"/>
      <c r="Y135" s="9"/>
      <c r="Z135" s="9"/>
    </row>
    <row r="136" ht="15.75" customHeight="1" spans="1:26">
      <c r="A136" s="9"/>
      <c r="B136" s="9"/>
      <c r="C136" s="9"/>
      <c r="D136" s="9"/>
      <c r="E136" s="10"/>
      <c r="F136" s="9"/>
      <c r="G136" s="22"/>
      <c r="H136" s="9"/>
      <c r="I136" s="9"/>
      <c r="J136" s="9"/>
      <c r="K136" s="9"/>
      <c r="L136" s="9"/>
      <c r="M136" s="9"/>
      <c r="N136" s="9"/>
      <c r="O136" s="9"/>
      <c r="P136" s="9"/>
      <c r="Q136" s="9"/>
      <c r="R136" s="9"/>
      <c r="S136" s="9"/>
      <c r="T136" s="9"/>
      <c r="U136" s="9"/>
      <c r="V136" s="9"/>
      <c r="W136" s="9"/>
      <c r="X136" s="9"/>
      <c r="Y136" s="9"/>
      <c r="Z136" s="9"/>
    </row>
    <row r="137" ht="15.75" customHeight="1" spans="1:26">
      <c r="A137" s="9"/>
      <c r="B137" s="9"/>
      <c r="C137" s="9"/>
      <c r="D137" s="9"/>
      <c r="E137" s="10"/>
      <c r="F137" s="9"/>
      <c r="G137" s="22"/>
      <c r="H137" s="9"/>
      <c r="I137" s="9"/>
      <c r="J137" s="9"/>
      <c r="K137" s="9"/>
      <c r="L137" s="9"/>
      <c r="M137" s="9"/>
      <c r="N137" s="9"/>
      <c r="O137" s="9"/>
      <c r="P137" s="9"/>
      <c r="Q137" s="9"/>
      <c r="R137" s="9"/>
      <c r="S137" s="9"/>
      <c r="T137" s="9"/>
      <c r="U137" s="9"/>
      <c r="V137" s="9"/>
      <c r="W137" s="9"/>
      <c r="X137" s="9"/>
      <c r="Y137" s="9"/>
      <c r="Z137" s="9"/>
    </row>
    <row r="138" ht="15.75" customHeight="1" spans="1:26">
      <c r="A138" s="9"/>
      <c r="B138" s="9"/>
      <c r="C138" s="9"/>
      <c r="D138" s="9"/>
      <c r="E138" s="10"/>
      <c r="F138" s="9"/>
      <c r="G138" s="22"/>
      <c r="H138" s="9"/>
      <c r="I138" s="9"/>
      <c r="J138" s="9"/>
      <c r="K138" s="9"/>
      <c r="L138" s="9"/>
      <c r="M138" s="9"/>
      <c r="N138" s="9"/>
      <c r="O138" s="9"/>
      <c r="P138" s="9"/>
      <c r="Q138" s="9"/>
      <c r="R138" s="9"/>
      <c r="S138" s="9"/>
      <c r="T138" s="9"/>
      <c r="U138" s="9"/>
      <c r="V138" s="9"/>
      <c r="W138" s="9"/>
      <c r="X138" s="9"/>
      <c r="Y138" s="9"/>
      <c r="Z138" s="9"/>
    </row>
    <row r="139" ht="15.75" customHeight="1" spans="1:26">
      <c r="A139" s="9"/>
      <c r="B139" s="9"/>
      <c r="C139" s="9"/>
      <c r="D139" s="9"/>
      <c r="E139" s="10"/>
      <c r="F139" s="9"/>
      <c r="G139" s="22"/>
      <c r="H139" s="9"/>
      <c r="I139" s="9"/>
      <c r="J139" s="9"/>
      <c r="K139" s="9"/>
      <c r="L139" s="9"/>
      <c r="M139" s="9"/>
      <c r="N139" s="9"/>
      <c r="O139" s="9"/>
      <c r="P139" s="9"/>
      <c r="Q139" s="9"/>
      <c r="R139" s="9"/>
      <c r="S139" s="9"/>
      <c r="T139" s="9"/>
      <c r="U139" s="9"/>
      <c r="V139" s="9"/>
      <c r="W139" s="9"/>
      <c r="X139" s="9"/>
      <c r="Y139" s="9"/>
      <c r="Z139" s="9"/>
    </row>
    <row r="140" ht="15.75" customHeight="1" spans="1:26">
      <c r="A140" s="9"/>
      <c r="B140" s="9"/>
      <c r="C140" s="9"/>
      <c r="D140" s="9"/>
      <c r="E140" s="10"/>
      <c r="F140" s="9"/>
      <c r="G140" s="22"/>
      <c r="H140" s="9"/>
      <c r="I140" s="9"/>
      <c r="J140" s="9"/>
      <c r="K140" s="9"/>
      <c r="L140" s="9"/>
      <c r="M140" s="9"/>
      <c r="N140" s="9"/>
      <c r="O140" s="9"/>
      <c r="P140" s="9"/>
      <c r="Q140" s="9"/>
      <c r="R140" s="9"/>
      <c r="S140" s="9"/>
      <c r="T140" s="9"/>
      <c r="U140" s="9"/>
      <c r="V140" s="9"/>
      <c r="W140" s="9"/>
      <c r="X140" s="9"/>
      <c r="Y140" s="9"/>
      <c r="Z140" s="9"/>
    </row>
    <row r="141" ht="15.75" customHeight="1" spans="1:26">
      <c r="A141" s="9"/>
      <c r="B141" s="9"/>
      <c r="C141" s="9"/>
      <c r="D141" s="9"/>
      <c r="E141" s="10"/>
      <c r="F141" s="9"/>
      <c r="G141" s="22"/>
      <c r="H141" s="9"/>
      <c r="I141" s="9"/>
      <c r="J141" s="9"/>
      <c r="K141" s="9"/>
      <c r="L141" s="9"/>
      <c r="M141" s="9"/>
      <c r="N141" s="9"/>
      <c r="O141" s="9"/>
      <c r="P141" s="9"/>
      <c r="Q141" s="9"/>
      <c r="R141" s="9"/>
      <c r="S141" s="9"/>
      <c r="T141" s="9"/>
      <c r="U141" s="9"/>
      <c r="V141" s="9"/>
      <c r="W141" s="9"/>
      <c r="X141" s="9"/>
      <c r="Y141" s="9"/>
      <c r="Z141" s="9"/>
    </row>
    <row r="142" ht="15.75" customHeight="1" spans="1:26">
      <c r="A142" s="9"/>
      <c r="B142" s="9"/>
      <c r="C142" s="9"/>
      <c r="D142" s="9"/>
      <c r="E142" s="10"/>
      <c r="F142" s="9"/>
      <c r="G142" s="22"/>
      <c r="H142" s="9"/>
      <c r="I142" s="9"/>
      <c r="J142" s="9"/>
      <c r="K142" s="9"/>
      <c r="L142" s="9"/>
      <c r="M142" s="9"/>
      <c r="N142" s="9"/>
      <c r="O142" s="9"/>
      <c r="P142" s="9"/>
      <c r="Q142" s="9"/>
      <c r="R142" s="9"/>
      <c r="S142" s="9"/>
      <c r="T142" s="9"/>
      <c r="U142" s="9"/>
      <c r="V142" s="9"/>
      <c r="W142" s="9"/>
      <c r="X142" s="9"/>
      <c r="Y142" s="9"/>
      <c r="Z142" s="9"/>
    </row>
    <row r="143" ht="15.75" customHeight="1" spans="1:26">
      <c r="A143" s="9"/>
      <c r="B143" s="9"/>
      <c r="C143" s="9"/>
      <c r="D143" s="9"/>
      <c r="E143" s="10"/>
      <c r="F143" s="9"/>
      <c r="G143" s="22"/>
      <c r="H143" s="9"/>
      <c r="I143" s="9"/>
      <c r="J143" s="9"/>
      <c r="K143" s="9"/>
      <c r="L143" s="9"/>
      <c r="M143" s="9"/>
      <c r="N143" s="9"/>
      <c r="O143" s="9"/>
      <c r="P143" s="9"/>
      <c r="Q143" s="9"/>
      <c r="R143" s="9"/>
      <c r="S143" s="9"/>
      <c r="T143" s="9"/>
      <c r="U143" s="9"/>
      <c r="V143" s="9"/>
      <c r="W143" s="9"/>
      <c r="X143" s="9"/>
      <c r="Y143" s="9"/>
      <c r="Z143" s="9"/>
    </row>
    <row r="144" ht="15.75" customHeight="1" spans="1:26">
      <c r="A144" s="9"/>
      <c r="B144" s="9"/>
      <c r="C144" s="9"/>
      <c r="D144" s="9"/>
      <c r="E144" s="10"/>
      <c r="F144" s="9"/>
      <c r="G144" s="22"/>
      <c r="H144" s="9"/>
      <c r="I144" s="9"/>
      <c r="J144" s="9"/>
      <c r="K144" s="9"/>
      <c r="L144" s="9"/>
      <c r="M144" s="9"/>
      <c r="N144" s="9"/>
      <c r="O144" s="9"/>
      <c r="P144" s="9"/>
      <c r="Q144" s="9"/>
      <c r="R144" s="9"/>
      <c r="S144" s="9"/>
      <c r="T144" s="9"/>
      <c r="U144" s="9"/>
      <c r="V144" s="9"/>
      <c r="W144" s="9"/>
      <c r="X144" s="9"/>
      <c r="Y144" s="9"/>
      <c r="Z144" s="9"/>
    </row>
    <row r="145" ht="15.75" customHeight="1" spans="1:26">
      <c r="A145" s="9"/>
      <c r="B145" s="9"/>
      <c r="C145" s="9"/>
      <c r="D145" s="9"/>
      <c r="E145" s="10"/>
      <c r="F145" s="9"/>
      <c r="G145" s="22"/>
      <c r="H145" s="9"/>
      <c r="I145" s="9"/>
      <c r="J145" s="9"/>
      <c r="K145" s="9"/>
      <c r="L145" s="9"/>
      <c r="M145" s="9"/>
      <c r="N145" s="9"/>
      <c r="O145" s="9"/>
      <c r="P145" s="9"/>
      <c r="Q145" s="9"/>
      <c r="R145" s="9"/>
      <c r="S145" s="9"/>
      <c r="T145" s="9"/>
      <c r="U145" s="9"/>
      <c r="V145" s="9"/>
      <c r="W145" s="9"/>
      <c r="X145" s="9"/>
      <c r="Y145" s="9"/>
      <c r="Z145" s="9"/>
    </row>
    <row r="146" ht="15.75" customHeight="1" spans="1:26">
      <c r="A146" s="9"/>
      <c r="B146" s="9"/>
      <c r="C146" s="9"/>
      <c r="D146" s="9"/>
      <c r="E146" s="10"/>
      <c r="F146" s="9"/>
      <c r="G146" s="22"/>
      <c r="H146" s="9"/>
      <c r="I146" s="9"/>
      <c r="J146" s="9"/>
      <c r="K146" s="9"/>
      <c r="L146" s="9"/>
      <c r="M146" s="9"/>
      <c r="N146" s="9"/>
      <c r="O146" s="9"/>
      <c r="P146" s="9"/>
      <c r="Q146" s="9"/>
      <c r="R146" s="9"/>
      <c r="S146" s="9"/>
      <c r="T146" s="9"/>
      <c r="U146" s="9"/>
      <c r="V146" s="9"/>
      <c r="W146" s="9"/>
      <c r="X146" s="9"/>
      <c r="Y146" s="9"/>
      <c r="Z146" s="9"/>
    </row>
    <row r="147" ht="15.75" customHeight="1" spans="1:26">
      <c r="A147" s="9"/>
      <c r="B147" s="9"/>
      <c r="C147" s="9"/>
      <c r="D147" s="9"/>
      <c r="E147" s="10"/>
      <c r="F147" s="9"/>
      <c r="G147" s="22"/>
      <c r="H147" s="9"/>
      <c r="I147" s="9"/>
      <c r="J147" s="9"/>
      <c r="K147" s="9"/>
      <c r="L147" s="9"/>
      <c r="M147" s="9"/>
      <c r="N147" s="9"/>
      <c r="O147" s="9"/>
      <c r="P147" s="9"/>
      <c r="Q147" s="9"/>
      <c r="R147" s="9"/>
      <c r="S147" s="9"/>
      <c r="T147" s="9"/>
      <c r="U147" s="9"/>
      <c r="V147" s="9"/>
      <c r="W147" s="9"/>
      <c r="X147" s="9"/>
      <c r="Y147" s="9"/>
      <c r="Z147" s="9"/>
    </row>
    <row r="148" ht="15.75" customHeight="1" spans="1:26">
      <c r="A148" s="9"/>
      <c r="B148" s="9"/>
      <c r="C148" s="9"/>
      <c r="D148" s="9"/>
      <c r="E148" s="10"/>
      <c r="F148" s="9"/>
      <c r="G148" s="22"/>
      <c r="H148" s="9"/>
      <c r="I148" s="9"/>
      <c r="J148" s="9"/>
      <c r="K148" s="9"/>
      <c r="L148" s="9"/>
      <c r="M148" s="9"/>
      <c r="N148" s="9"/>
      <c r="O148" s="9"/>
      <c r="P148" s="9"/>
      <c r="Q148" s="9"/>
      <c r="R148" s="9"/>
      <c r="S148" s="9"/>
      <c r="T148" s="9"/>
      <c r="U148" s="9"/>
      <c r="V148" s="9"/>
      <c r="W148" s="9"/>
      <c r="X148" s="9"/>
      <c r="Y148" s="9"/>
      <c r="Z148" s="9"/>
    </row>
    <row r="149" ht="15.75" customHeight="1" spans="1:26">
      <c r="A149" s="9"/>
      <c r="B149" s="9"/>
      <c r="C149" s="9"/>
      <c r="D149" s="9"/>
      <c r="E149" s="10"/>
      <c r="F149" s="9"/>
      <c r="G149" s="22"/>
      <c r="H149" s="9"/>
      <c r="I149" s="9"/>
      <c r="J149" s="9"/>
      <c r="K149" s="9"/>
      <c r="L149" s="9"/>
      <c r="M149" s="9"/>
      <c r="N149" s="9"/>
      <c r="O149" s="9"/>
      <c r="P149" s="9"/>
      <c r="Q149" s="9"/>
      <c r="R149" s="9"/>
      <c r="S149" s="9"/>
      <c r="T149" s="9"/>
      <c r="U149" s="9"/>
      <c r="V149" s="9"/>
      <c r="W149" s="9"/>
      <c r="X149" s="9"/>
      <c r="Y149" s="9"/>
      <c r="Z149" s="9"/>
    </row>
    <row r="150" ht="15.75" customHeight="1" spans="1:26">
      <c r="A150" s="9"/>
      <c r="B150" s="9"/>
      <c r="C150" s="9"/>
      <c r="D150" s="9"/>
      <c r="E150" s="10"/>
      <c r="F150" s="9"/>
      <c r="G150" s="22"/>
      <c r="H150" s="9"/>
      <c r="I150" s="9"/>
      <c r="J150" s="9"/>
      <c r="K150" s="9"/>
      <c r="L150" s="9"/>
      <c r="M150" s="9"/>
      <c r="N150" s="9"/>
      <c r="O150" s="9"/>
      <c r="P150" s="9"/>
      <c r="Q150" s="9"/>
      <c r="R150" s="9"/>
      <c r="S150" s="9"/>
      <c r="T150" s="9"/>
      <c r="U150" s="9"/>
      <c r="V150" s="9"/>
      <c r="W150" s="9"/>
      <c r="X150" s="9"/>
      <c r="Y150" s="9"/>
      <c r="Z150" s="9"/>
    </row>
    <row r="151" ht="15.75" customHeight="1" spans="1:26">
      <c r="A151" s="9"/>
      <c r="B151" s="9"/>
      <c r="C151" s="9"/>
      <c r="D151" s="9"/>
      <c r="E151" s="10"/>
      <c r="F151" s="9"/>
      <c r="G151" s="22"/>
      <c r="H151" s="9"/>
      <c r="I151" s="9"/>
      <c r="J151" s="9"/>
      <c r="K151" s="9"/>
      <c r="L151" s="9"/>
      <c r="M151" s="9"/>
      <c r="N151" s="9"/>
      <c r="O151" s="9"/>
      <c r="P151" s="9"/>
      <c r="Q151" s="9"/>
      <c r="R151" s="9"/>
      <c r="S151" s="9"/>
      <c r="T151" s="9"/>
      <c r="U151" s="9"/>
      <c r="V151" s="9"/>
      <c r="W151" s="9"/>
      <c r="X151" s="9"/>
      <c r="Y151" s="9"/>
      <c r="Z151" s="9"/>
    </row>
    <row r="152" ht="15.75" customHeight="1" spans="1:26">
      <c r="A152" s="9"/>
      <c r="B152" s="9"/>
      <c r="C152" s="9"/>
      <c r="D152" s="9"/>
      <c r="E152" s="10"/>
      <c r="F152" s="9"/>
      <c r="G152" s="22"/>
      <c r="H152" s="9"/>
      <c r="I152" s="9"/>
      <c r="J152" s="9"/>
      <c r="K152" s="9"/>
      <c r="L152" s="9"/>
      <c r="M152" s="9"/>
      <c r="N152" s="9"/>
      <c r="O152" s="9"/>
      <c r="P152" s="9"/>
      <c r="Q152" s="9"/>
      <c r="R152" s="9"/>
      <c r="S152" s="9"/>
      <c r="T152" s="9"/>
      <c r="U152" s="9"/>
      <c r="V152" s="9"/>
      <c r="W152" s="9"/>
      <c r="X152" s="9"/>
      <c r="Y152" s="9"/>
      <c r="Z152" s="9"/>
    </row>
    <row r="153" ht="15.75" customHeight="1" spans="1:26">
      <c r="A153" s="9"/>
      <c r="B153" s="9"/>
      <c r="C153" s="9"/>
      <c r="D153" s="9"/>
      <c r="E153" s="10"/>
      <c r="F153" s="9"/>
      <c r="G153" s="22"/>
      <c r="H153" s="9"/>
      <c r="I153" s="9"/>
      <c r="J153" s="9"/>
      <c r="K153" s="9"/>
      <c r="L153" s="9"/>
      <c r="M153" s="9"/>
      <c r="N153" s="9"/>
      <c r="O153" s="9"/>
      <c r="P153" s="9"/>
      <c r="Q153" s="9"/>
      <c r="R153" s="9"/>
      <c r="S153" s="9"/>
      <c r="T153" s="9"/>
      <c r="U153" s="9"/>
      <c r="V153" s="9"/>
      <c r="W153" s="9"/>
      <c r="X153" s="9"/>
      <c r="Y153" s="9"/>
      <c r="Z153" s="9"/>
    </row>
    <row r="154" ht="15.75" customHeight="1" spans="1:26">
      <c r="A154" s="9"/>
      <c r="B154" s="9"/>
      <c r="C154" s="9"/>
      <c r="D154" s="9"/>
      <c r="E154" s="10"/>
      <c r="F154" s="9"/>
      <c r="G154" s="22"/>
      <c r="H154" s="9"/>
      <c r="I154" s="9"/>
      <c r="J154" s="9"/>
      <c r="K154" s="9"/>
      <c r="L154" s="9"/>
      <c r="M154" s="9"/>
      <c r="N154" s="9"/>
      <c r="O154" s="9"/>
      <c r="P154" s="9"/>
      <c r="Q154" s="9"/>
      <c r="R154" s="9"/>
      <c r="S154" s="9"/>
      <c r="T154" s="9"/>
      <c r="U154" s="9"/>
      <c r="V154" s="9"/>
      <c r="W154" s="9"/>
      <c r="X154" s="9"/>
      <c r="Y154" s="9"/>
      <c r="Z154" s="9"/>
    </row>
    <row r="155" ht="15.75" customHeight="1" spans="1:26">
      <c r="A155" s="9"/>
      <c r="B155" s="9"/>
      <c r="C155" s="9"/>
      <c r="D155" s="9"/>
      <c r="E155" s="10"/>
      <c r="F155" s="9"/>
      <c r="G155" s="22"/>
      <c r="H155" s="9"/>
      <c r="I155" s="9"/>
      <c r="J155" s="9"/>
      <c r="K155" s="9"/>
      <c r="L155" s="9"/>
      <c r="M155" s="9"/>
      <c r="N155" s="9"/>
      <c r="O155" s="9"/>
      <c r="P155" s="9"/>
      <c r="Q155" s="9"/>
      <c r="R155" s="9"/>
      <c r="S155" s="9"/>
      <c r="T155" s="9"/>
      <c r="U155" s="9"/>
      <c r="V155" s="9"/>
      <c r="W155" s="9"/>
      <c r="X155" s="9"/>
      <c r="Y155" s="9"/>
      <c r="Z155" s="9"/>
    </row>
    <row r="156" ht="15.75" customHeight="1" spans="1:26">
      <c r="A156" s="9"/>
      <c r="B156" s="9"/>
      <c r="C156" s="9"/>
      <c r="D156" s="9"/>
      <c r="E156" s="10"/>
      <c r="F156" s="9"/>
      <c r="G156" s="22"/>
      <c r="H156" s="9"/>
      <c r="I156" s="9"/>
      <c r="J156" s="9"/>
      <c r="K156" s="9"/>
      <c r="L156" s="9"/>
      <c r="M156" s="9"/>
      <c r="N156" s="9"/>
      <c r="O156" s="9"/>
      <c r="P156" s="9"/>
      <c r="Q156" s="9"/>
      <c r="R156" s="9"/>
      <c r="S156" s="9"/>
      <c r="T156" s="9"/>
      <c r="U156" s="9"/>
      <c r="V156" s="9"/>
      <c r="W156" s="9"/>
      <c r="X156" s="9"/>
      <c r="Y156" s="9"/>
      <c r="Z156" s="9"/>
    </row>
    <row r="157" ht="15.75" customHeight="1" spans="1:26">
      <c r="A157" s="9"/>
      <c r="B157" s="9"/>
      <c r="C157" s="9"/>
      <c r="D157" s="9"/>
      <c r="E157" s="10"/>
      <c r="F157" s="9"/>
      <c r="G157" s="22"/>
      <c r="H157" s="9"/>
      <c r="I157" s="9"/>
      <c r="J157" s="9"/>
      <c r="K157" s="9"/>
      <c r="L157" s="9"/>
      <c r="M157" s="9"/>
      <c r="N157" s="9"/>
      <c r="O157" s="9"/>
      <c r="P157" s="9"/>
      <c r="Q157" s="9"/>
      <c r="R157" s="9"/>
      <c r="S157" s="9"/>
      <c r="T157" s="9"/>
      <c r="U157" s="9"/>
      <c r="V157" s="9"/>
      <c r="W157" s="9"/>
      <c r="X157" s="9"/>
      <c r="Y157" s="9"/>
      <c r="Z157" s="9"/>
    </row>
    <row r="158" ht="15.75" customHeight="1" spans="1:26">
      <c r="A158" s="9"/>
      <c r="B158" s="9"/>
      <c r="C158" s="9"/>
      <c r="D158" s="9"/>
      <c r="E158" s="10"/>
      <c r="F158" s="9"/>
      <c r="G158" s="22"/>
      <c r="H158" s="9"/>
      <c r="I158" s="9"/>
      <c r="J158" s="9"/>
      <c r="K158" s="9"/>
      <c r="L158" s="9"/>
      <c r="M158" s="9"/>
      <c r="N158" s="9"/>
      <c r="O158" s="9"/>
      <c r="P158" s="9"/>
      <c r="Q158" s="9"/>
      <c r="R158" s="9"/>
      <c r="S158" s="9"/>
      <c r="T158" s="9"/>
      <c r="U158" s="9"/>
      <c r="V158" s="9"/>
      <c r="W158" s="9"/>
      <c r="X158" s="9"/>
      <c r="Y158" s="9"/>
      <c r="Z158" s="9"/>
    </row>
    <row r="159" ht="15.75" customHeight="1" spans="1:26">
      <c r="A159" s="9"/>
      <c r="B159" s="9"/>
      <c r="C159" s="9"/>
      <c r="D159" s="9"/>
      <c r="E159" s="10"/>
      <c r="F159" s="9"/>
      <c r="G159" s="22"/>
      <c r="H159" s="9"/>
      <c r="I159" s="9"/>
      <c r="J159" s="9"/>
      <c r="K159" s="9"/>
      <c r="L159" s="9"/>
      <c r="M159" s="9"/>
      <c r="N159" s="9"/>
      <c r="O159" s="9"/>
      <c r="P159" s="9"/>
      <c r="Q159" s="9"/>
      <c r="R159" s="9"/>
      <c r="S159" s="9"/>
      <c r="T159" s="9"/>
      <c r="U159" s="9"/>
      <c r="V159" s="9"/>
      <c r="W159" s="9"/>
      <c r="X159" s="9"/>
      <c r="Y159" s="9"/>
      <c r="Z159" s="9"/>
    </row>
    <row r="160" ht="15.75" customHeight="1" spans="1:26">
      <c r="A160" s="9"/>
      <c r="B160" s="9"/>
      <c r="C160" s="9"/>
      <c r="D160" s="9"/>
      <c r="E160" s="10"/>
      <c r="F160" s="9"/>
      <c r="G160" s="22"/>
      <c r="H160" s="9"/>
      <c r="I160" s="9"/>
      <c r="J160" s="9"/>
      <c r="K160" s="9"/>
      <c r="L160" s="9"/>
      <c r="M160" s="9"/>
      <c r="N160" s="9"/>
      <c r="O160" s="9"/>
      <c r="P160" s="9"/>
      <c r="Q160" s="9"/>
      <c r="R160" s="9"/>
      <c r="S160" s="9"/>
      <c r="T160" s="9"/>
      <c r="U160" s="9"/>
      <c r="V160" s="9"/>
      <c r="W160" s="9"/>
      <c r="X160" s="9"/>
      <c r="Y160" s="9"/>
      <c r="Z160" s="9"/>
    </row>
    <row r="161" ht="15.75" customHeight="1" spans="1:26">
      <c r="A161" s="9"/>
      <c r="B161" s="9"/>
      <c r="C161" s="9"/>
      <c r="D161" s="9"/>
      <c r="E161" s="10"/>
      <c r="F161" s="9"/>
      <c r="G161" s="22"/>
      <c r="H161" s="9"/>
      <c r="I161" s="9"/>
      <c r="J161" s="9"/>
      <c r="K161" s="9"/>
      <c r="L161" s="9"/>
      <c r="M161" s="9"/>
      <c r="N161" s="9"/>
      <c r="O161" s="9"/>
      <c r="P161" s="9"/>
      <c r="Q161" s="9"/>
      <c r="R161" s="9"/>
      <c r="S161" s="9"/>
      <c r="T161" s="9"/>
      <c r="U161" s="9"/>
      <c r="V161" s="9"/>
      <c r="W161" s="9"/>
      <c r="X161" s="9"/>
      <c r="Y161" s="9"/>
      <c r="Z161" s="9"/>
    </row>
    <row r="162" ht="15.75" customHeight="1" spans="1:26">
      <c r="A162" s="9"/>
      <c r="B162" s="9"/>
      <c r="C162" s="9"/>
      <c r="D162" s="9"/>
      <c r="E162" s="10"/>
      <c r="F162" s="9"/>
      <c r="G162" s="22"/>
      <c r="H162" s="9"/>
      <c r="I162" s="9"/>
      <c r="J162" s="9"/>
      <c r="K162" s="9"/>
      <c r="L162" s="9"/>
      <c r="M162" s="9"/>
      <c r="N162" s="9"/>
      <c r="O162" s="9"/>
      <c r="P162" s="9"/>
      <c r="Q162" s="9"/>
      <c r="R162" s="9"/>
      <c r="S162" s="9"/>
      <c r="T162" s="9"/>
      <c r="U162" s="9"/>
      <c r="V162" s="9"/>
      <c r="W162" s="9"/>
      <c r="X162" s="9"/>
      <c r="Y162" s="9"/>
      <c r="Z162" s="9"/>
    </row>
    <row r="163" ht="15.75" customHeight="1" spans="1:26">
      <c r="A163" s="9"/>
      <c r="B163" s="9"/>
      <c r="C163" s="9"/>
      <c r="D163" s="9"/>
      <c r="E163" s="10"/>
      <c r="F163" s="9"/>
      <c r="G163" s="22"/>
      <c r="H163" s="9"/>
      <c r="I163" s="9"/>
      <c r="J163" s="9"/>
      <c r="K163" s="9"/>
      <c r="L163" s="9"/>
      <c r="M163" s="9"/>
      <c r="N163" s="9"/>
      <c r="O163" s="9"/>
      <c r="P163" s="9"/>
      <c r="Q163" s="9"/>
      <c r="R163" s="9"/>
      <c r="S163" s="9"/>
      <c r="T163" s="9"/>
      <c r="U163" s="9"/>
      <c r="V163" s="9"/>
      <c r="W163" s="9"/>
      <c r="X163" s="9"/>
      <c r="Y163" s="9"/>
      <c r="Z163" s="9"/>
    </row>
    <row r="164" ht="15.75" customHeight="1" spans="1:26">
      <c r="A164" s="9"/>
      <c r="B164" s="9"/>
      <c r="C164" s="9"/>
      <c r="D164" s="9"/>
      <c r="E164" s="10"/>
      <c r="F164" s="9"/>
      <c r="G164" s="22"/>
      <c r="H164" s="9"/>
      <c r="I164" s="9"/>
      <c r="J164" s="9"/>
      <c r="K164" s="9"/>
      <c r="L164" s="9"/>
      <c r="M164" s="9"/>
      <c r="N164" s="9"/>
      <c r="O164" s="9"/>
      <c r="P164" s="9"/>
      <c r="Q164" s="9"/>
      <c r="R164" s="9"/>
      <c r="S164" s="9"/>
      <c r="T164" s="9"/>
      <c r="U164" s="9"/>
      <c r="V164" s="9"/>
      <c r="W164" s="9"/>
      <c r="X164" s="9"/>
      <c r="Y164" s="9"/>
      <c r="Z164" s="9"/>
    </row>
    <row r="165" ht="15.75" customHeight="1" spans="1:26">
      <c r="A165" s="9"/>
      <c r="B165" s="9"/>
      <c r="C165" s="9"/>
      <c r="D165" s="9"/>
      <c r="E165" s="10"/>
      <c r="F165" s="9"/>
      <c r="G165" s="22"/>
      <c r="H165" s="9"/>
      <c r="I165" s="9"/>
      <c r="J165" s="9"/>
      <c r="K165" s="9"/>
      <c r="L165" s="9"/>
      <c r="M165" s="9"/>
      <c r="N165" s="9"/>
      <c r="O165" s="9"/>
      <c r="P165" s="9"/>
      <c r="Q165" s="9"/>
      <c r="R165" s="9"/>
      <c r="S165" s="9"/>
      <c r="T165" s="9"/>
      <c r="U165" s="9"/>
      <c r="V165" s="9"/>
      <c r="W165" s="9"/>
      <c r="X165" s="9"/>
      <c r="Y165" s="9"/>
      <c r="Z165" s="9"/>
    </row>
    <row r="166" ht="15.75" customHeight="1" spans="1:26">
      <c r="A166" s="9"/>
      <c r="B166" s="9"/>
      <c r="C166" s="9"/>
      <c r="D166" s="9"/>
      <c r="E166" s="10"/>
      <c r="F166" s="9"/>
      <c r="G166" s="22"/>
      <c r="H166" s="9"/>
      <c r="I166" s="9"/>
      <c r="J166" s="9"/>
      <c r="K166" s="9"/>
      <c r="L166" s="9"/>
      <c r="M166" s="9"/>
      <c r="N166" s="9"/>
      <c r="O166" s="9"/>
      <c r="P166" s="9"/>
      <c r="Q166" s="9"/>
      <c r="R166" s="9"/>
      <c r="S166" s="9"/>
      <c r="T166" s="9"/>
      <c r="U166" s="9"/>
      <c r="V166" s="9"/>
      <c r="W166" s="9"/>
      <c r="X166" s="9"/>
      <c r="Y166" s="9"/>
      <c r="Z166" s="9"/>
    </row>
    <row r="167" ht="15.75" customHeight="1" spans="1:26">
      <c r="A167" s="9"/>
      <c r="B167" s="9"/>
      <c r="C167" s="9"/>
      <c r="D167" s="9"/>
      <c r="E167" s="10"/>
      <c r="F167" s="9"/>
      <c r="G167" s="22"/>
      <c r="H167" s="9"/>
      <c r="I167" s="9"/>
      <c r="J167" s="9"/>
      <c r="K167" s="9"/>
      <c r="L167" s="9"/>
      <c r="M167" s="9"/>
      <c r="N167" s="9"/>
      <c r="O167" s="9"/>
      <c r="P167" s="9"/>
      <c r="Q167" s="9"/>
      <c r="R167" s="9"/>
      <c r="S167" s="9"/>
      <c r="T167" s="9"/>
      <c r="U167" s="9"/>
      <c r="V167" s="9"/>
      <c r="W167" s="9"/>
      <c r="X167" s="9"/>
      <c r="Y167" s="9"/>
      <c r="Z167" s="9"/>
    </row>
    <row r="168" ht="15.75" customHeight="1" spans="1:26">
      <c r="A168" s="9"/>
      <c r="B168" s="9"/>
      <c r="C168" s="9"/>
      <c r="D168" s="9"/>
      <c r="E168" s="10"/>
      <c r="F168" s="9"/>
      <c r="G168" s="22"/>
      <c r="H168" s="9"/>
      <c r="I168" s="9"/>
      <c r="J168" s="9"/>
      <c r="K168" s="9"/>
      <c r="L168" s="9"/>
      <c r="M168" s="9"/>
      <c r="N168" s="9"/>
      <c r="O168" s="9"/>
      <c r="P168" s="9"/>
      <c r="Q168" s="9"/>
      <c r="R168" s="9"/>
      <c r="S168" s="9"/>
      <c r="T168" s="9"/>
      <c r="U168" s="9"/>
      <c r="V168" s="9"/>
      <c r="W168" s="9"/>
      <c r="X168" s="9"/>
      <c r="Y168" s="9"/>
      <c r="Z168" s="9"/>
    </row>
    <row r="169" ht="15.75" customHeight="1" spans="1:26">
      <c r="A169" s="9"/>
      <c r="B169" s="9"/>
      <c r="C169" s="9"/>
      <c r="D169" s="9"/>
      <c r="E169" s="10"/>
      <c r="F169" s="9"/>
      <c r="G169" s="22"/>
      <c r="H169" s="9"/>
      <c r="I169" s="9"/>
      <c r="J169" s="9"/>
      <c r="K169" s="9"/>
      <c r="L169" s="9"/>
      <c r="M169" s="9"/>
      <c r="N169" s="9"/>
      <c r="O169" s="9"/>
      <c r="P169" s="9"/>
      <c r="Q169" s="9"/>
      <c r="R169" s="9"/>
      <c r="S169" s="9"/>
      <c r="T169" s="9"/>
      <c r="U169" s="9"/>
      <c r="V169" s="9"/>
      <c r="W169" s="9"/>
      <c r="X169" s="9"/>
      <c r="Y169" s="9"/>
      <c r="Z169" s="9"/>
    </row>
    <row r="170" ht="15.75" customHeight="1" spans="1:26">
      <c r="A170" s="9"/>
      <c r="B170" s="9"/>
      <c r="C170" s="9"/>
      <c r="D170" s="9"/>
      <c r="E170" s="10"/>
      <c r="F170" s="9"/>
      <c r="G170" s="22"/>
      <c r="H170" s="9"/>
      <c r="I170" s="9"/>
      <c r="J170" s="9"/>
      <c r="K170" s="9"/>
      <c r="L170" s="9"/>
      <c r="M170" s="9"/>
      <c r="N170" s="9"/>
      <c r="O170" s="9"/>
      <c r="P170" s="9"/>
      <c r="Q170" s="9"/>
      <c r="R170" s="9"/>
      <c r="S170" s="9"/>
      <c r="T170" s="9"/>
      <c r="U170" s="9"/>
      <c r="V170" s="9"/>
      <c r="W170" s="9"/>
      <c r="X170" s="9"/>
      <c r="Y170" s="9"/>
      <c r="Z170" s="9"/>
    </row>
    <row r="171" ht="15.75" customHeight="1" spans="1:26">
      <c r="A171" s="9"/>
      <c r="B171" s="9"/>
      <c r="C171" s="9"/>
      <c r="D171" s="9"/>
      <c r="E171" s="10"/>
      <c r="F171" s="9"/>
      <c r="G171" s="22"/>
      <c r="H171" s="9"/>
      <c r="I171" s="9"/>
      <c r="J171" s="9"/>
      <c r="K171" s="9"/>
      <c r="L171" s="9"/>
      <c r="M171" s="9"/>
      <c r="N171" s="9"/>
      <c r="O171" s="9"/>
      <c r="P171" s="9"/>
      <c r="Q171" s="9"/>
      <c r="R171" s="9"/>
      <c r="S171" s="9"/>
      <c r="T171" s="9"/>
      <c r="U171" s="9"/>
      <c r="V171" s="9"/>
      <c r="W171" s="9"/>
      <c r="X171" s="9"/>
      <c r="Y171" s="9"/>
      <c r="Z171" s="9"/>
    </row>
    <row r="172" ht="15.75" customHeight="1" spans="1:26">
      <c r="A172" s="9"/>
      <c r="B172" s="9"/>
      <c r="C172" s="9"/>
      <c r="D172" s="9"/>
      <c r="E172" s="10"/>
      <c r="F172" s="9"/>
      <c r="G172" s="22"/>
      <c r="H172" s="9"/>
      <c r="I172" s="9"/>
      <c r="J172" s="9"/>
      <c r="K172" s="9"/>
      <c r="L172" s="9"/>
      <c r="M172" s="9"/>
      <c r="N172" s="9"/>
      <c r="O172" s="9"/>
      <c r="P172" s="9"/>
      <c r="Q172" s="9"/>
      <c r="R172" s="9"/>
      <c r="S172" s="9"/>
      <c r="T172" s="9"/>
      <c r="U172" s="9"/>
      <c r="V172" s="9"/>
      <c r="W172" s="9"/>
      <c r="X172" s="9"/>
      <c r="Y172" s="9"/>
      <c r="Z172" s="9"/>
    </row>
    <row r="173" ht="15.75" customHeight="1" spans="1:26">
      <c r="A173" s="9"/>
      <c r="B173" s="9"/>
      <c r="C173" s="9"/>
      <c r="D173" s="9"/>
      <c r="E173" s="10"/>
      <c r="F173" s="9"/>
      <c r="G173" s="22"/>
      <c r="H173" s="9"/>
      <c r="I173" s="9"/>
      <c r="J173" s="9"/>
      <c r="K173" s="9"/>
      <c r="L173" s="9"/>
      <c r="M173" s="9"/>
      <c r="N173" s="9"/>
      <c r="O173" s="9"/>
      <c r="P173" s="9"/>
      <c r="Q173" s="9"/>
      <c r="R173" s="9"/>
      <c r="S173" s="9"/>
      <c r="T173" s="9"/>
      <c r="U173" s="9"/>
      <c r="V173" s="9"/>
      <c r="W173" s="9"/>
      <c r="X173" s="9"/>
      <c r="Y173" s="9"/>
      <c r="Z173" s="9"/>
    </row>
    <row r="174" ht="15.75" customHeight="1" spans="1:26">
      <c r="A174" s="9"/>
      <c r="B174" s="9"/>
      <c r="C174" s="9"/>
      <c r="D174" s="9"/>
      <c r="E174" s="10"/>
      <c r="F174" s="9"/>
      <c r="G174" s="22"/>
      <c r="H174" s="9"/>
      <c r="I174" s="9"/>
      <c r="J174" s="9"/>
      <c r="K174" s="9"/>
      <c r="L174" s="9"/>
      <c r="M174" s="9"/>
      <c r="N174" s="9"/>
      <c r="O174" s="9"/>
      <c r="P174" s="9"/>
      <c r="Q174" s="9"/>
      <c r="R174" s="9"/>
      <c r="S174" s="9"/>
      <c r="T174" s="9"/>
      <c r="U174" s="9"/>
      <c r="V174" s="9"/>
      <c r="W174" s="9"/>
      <c r="X174" s="9"/>
      <c r="Y174" s="9"/>
      <c r="Z174" s="9"/>
    </row>
    <row r="175" ht="15.75" customHeight="1" spans="1:26">
      <c r="A175" s="9"/>
      <c r="B175" s="9"/>
      <c r="C175" s="9"/>
      <c r="D175" s="9"/>
      <c r="E175" s="10"/>
      <c r="F175" s="9"/>
      <c r="G175" s="22"/>
      <c r="H175" s="9"/>
      <c r="I175" s="9"/>
      <c r="J175" s="9"/>
      <c r="K175" s="9"/>
      <c r="L175" s="9"/>
      <c r="M175" s="9"/>
      <c r="N175" s="9"/>
      <c r="O175" s="9"/>
      <c r="P175" s="9"/>
      <c r="Q175" s="9"/>
      <c r="R175" s="9"/>
      <c r="S175" s="9"/>
      <c r="T175" s="9"/>
      <c r="U175" s="9"/>
      <c r="V175" s="9"/>
      <c r="W175" s="9"/>
      <c r="X175" s="9"/>
      <c r="Y175" s="9"/>
      <c r="Z175" s="9"/>
    </row>
    <row r="176" ht="15.75" customHeight="1" spans="1:26">
      <c r="A176" s="9"/>
      <c r="B176" s="9"/>
      <c r="C176" s="9"/>
      <c r="D176" s="9"/>
      <c r="E176" s="10"/>
      <c r="F176" s="9"/>
      <c r="G176" s="22"/>
      <c r="H176" s="9"/>
      <c r="I176" s="9"/>
      <c r="J176" s="9"/>
      <c r="K176" s="9"/>
      <c r="L176" s="9"/>
      <c r="M176" s="9"/>
      <c r="N176" s="9"/>
      <c r="O176" s="9"/>
      <c r="P176" s="9"/>
      <c r="Q176" s="9"/>
      <c r="R176" s="9"/>
      <c r="S176" s="9"/>
      <c r="T176" s="9"/>
      <c r="U176" s="9"/>
      <c r="V176" s="9"/>
      <c r="W176" s="9"/>
      <c r="X176" s="9"/>
      <c r="Y176" s="9"/>
      <c r="Z176" s="9"/>
    </row>
    <row r="177" ht="15.75" customHeight="1" spans="1:26">
      <c r="A177" s="9"/>
      <c r="B177" s="9"/>
      <c r="C177" s="9"/>
      <c r="D177" s="9"/>
      <c r="E177" s="10"/>
      <c r="F177" s="9"/>
      <c r="G177" s="22"/>
      <c r="H177" s="9"/>
      <c r="I177" s="9"/>
      <c r="J177" s="9"/>
      <c r="K177" s="9"/>
      <c r="L177" s="9"/>
      <c r="M177" s="9"/>
      <c r="N177" s="9"/>
      <c r="O177" s="9"/>
      <c r="P177" s="9"/>
      <c r="Q177" s="9"/>
      <c r="R177" s="9"/>
      <c r="S177" s="9"/>
      <c r="T177" s="9"/>
      <c r="U177" s="9"/>
      <c r="V177" s="9"/>
      <c r="W177" s="9"/>
      <c r="X177" s="9"/>
      <c r="Y177" s="9"/>
      <c r="Z177" s="9"/>
    </row>
    <row r="178" ht="15.75" customHeight="1" spans="1:26">
      <c r="A178" s="9"/>
      <c r="B178" s="9"/>
      <c r="C178" s="9"/>
      <c r="D178" s="9"/>
      <c r="E178" s="10"/>
      <c r="F178" s="9"/>
      <c r="G178" s="22"/>
      <c r="H178" s="9"/>
      <c r="I178" s="9"/>
      <c r="J178" s="9"/>
      <c r="K178" s="9"/>
      <c r="L178" s="9"/>
      <c r="M178" s="9"/>
      <c r="N178" s="9"/>
      <c r="O178" s="9"/>
      <c r="P178" s="9"/>
      <c r="Q178" s="9"/>
      <c r="R178" s="9"/>
      <c r="S178" s="9"/>
      <c r="T178" s="9"/>
      <c r="U178" s="9"/>
      <c r="V178" s="9"/>
      <c r="W178" s="9"/>
      <c r="X178" s="9"/>
      <c r="Y178" s="9"/>
      <c r="Z178" s="9"/>
    </row>
    <row r="179" ht="15.75" customHeight="1" spans="1:26">
      <c r="A179" s="9"/>
      <c r="B179" s="9"/>
      <c r="C179" s="9"/>
      <c r="D179" s="9"/>
      <c r="E179" s="10"/>
      <c r="F179" s="9"/>
      <c r="G179" s="22"/>
      <c r="H179" s="9"/>
      <c r="I179" s="9"/>
      <c r="J179" s="9"/>
      <c r="K179" s="9"/>
      <c r="L179" s="9"/>
      <c r="M179" s="9"/>
      <c r="N179" s="9"/>
      <c r="O179" s="9"/>
      <c r="P179" s="9"/>
      <c r="Q179" s="9"/>
      <c r="R179" s="9"/>
      <c r="S179" s="9"/>
      <c r="T179" s="9"/>
      <c r="U179" s="9"/>
      <c r="V179" s="9"/>
      <c r="W179" s="9"/>
      <c r="X179" s="9"/>
      <c r="Y179" s="9"/>
      <c r="Z179" s="9"/>
    </row>
    <row r="180" ht="15.75" customHeight="1" spans="1:26">
      <c r="A180" s="9"/>
      <c r="B180" s="9"/>
      <c r="C180" s="9"/>
      <c r="D180" s="9"/>
      <c r="E180" s="10"/>
      <c r="F180" s="9"/>
      <c r="G180" s="22"/>
      <c r="H180" s="9"/>
      <c r="I180" s="9"/>
      <c r="J180" s="9"/>
      <c r="K180" s="9"/>
      <c r="L180" s="9"/>
      <c r="M180" s="9"/>
      <c r="N180" s="9"/>
      <c r="O180" s="9"/>
      <c r="P180" s="9"/>
      <c r="Q180" s="9"/>
      <c r="R180" s="9"/>
      <c r="S180" s="9"/>
      <c r="T180" s="9"/>
      <c r="U180" s="9"/>
      <c r="V180" s="9"/>
      <c r="W180" s="9"/>
      <c r="X180" s="9"/>
      <c r="Y180" s="9"/>
      <c r="Z180" s="9"/>
    </row>
    <row r="181" ht="15.75" customHeight="1" spans="1:26">
      <c r="A181" s="9"/>
      <c r="B181" s="9"/>
      <c r="C181" s="9"/>
      <c r="D181" s="9"/>
      <c r="E181" s="10"/>
      <c r="F181" s="9"/>
      <c r="G181" s="22"/>
      <c r="H181" s="9"/>
      <c r="I181" s="9"/>
      <c r="J181" s="9"/>
      <c r="K181" s="9"/>
      <c r="L181" s="9"/>
      <c r="M181" s="9"/>
      <c r="N181" s="9"/>
      <c r="O181" s="9"/>
      <c r="P181" s="9"/>
      <c r="Q181" s="9"/>
      <c r="R181" s="9"/>
      <c r="S181" s="9"/>
      <c r="T181" s="9"/>
      <c r="U181" s="9"/>
      <c r="V181" s="9"/>
      <c r="W181" s="9"/>
      <c r="X181" s="9"/>
      <c r="Y181" s="9"/>
      <c r="Z181" s="9"/>
    </row>
    <row r="182" ht="15.75" customHeight="1" spans="1:26">
      <c r="A182" s="9"/>
      <c r="B182" s="9"/>
      <c r="C182" s="9"/>
      <c r="D182" s="9"/>
      <c r="E182" s="10"/>
      <c r="F182" s="9"/>
      <c r="G182" s="22"/>
      <c r="H182" s="9"/>
      <c r="I182" s="9"/>
      <c r="J182" s="9"/>
      <c r="K182" s="9"/>
      <c r="L182" s="9"/>
      <c r="M182" s="9"/>
      <c r="N182" s="9"/>
      <c r="O182" s="9"/>
      <c r="P182" s="9"/>
      <c r="Q182" s="9"/>
      <c r="R182" s="9"/>
      <c r="S182" s="9"/>
      <c r="T182" s="9"/>
      <c r="U182" s="9"/>
      <c r="V182" s="9"/>
      <c r="W182" s="9"/>
      <c r="X182" s="9"/>
      <c r="Y182" s="9"/>
      <c r="Z182" s="9"/>
    </row>
    <row r="183" ht="15.75" customHeight="1" spans="1:26">
      <c r="A183" s="9"/>
      <c r="B183" s="9"/>
      <c r="C183" s="9"/>
      <c r="D183" s="9"/>
      <c r="E183" s="10"/>
      <c r="F183" s="9"/>
      <c r="G183" s="22"/>
      <c r="H183" s="9"/>
      <c r="I183" s="9"/>
      <c r="J183" s="9"/>
      <c r="K183" s="9"/>
      <c r="L183" s="9"/>
      <c r="M183" s="9"/>
      <c r="N183" s="9"/>
      <c r="O183" s="9"/>
      <c r="P183" s="9"/>
      <c r="Q183" s="9"/>
      <c r="R183" s="9"/>
      <c r="S183" s="9"/>
      <c r="T183" s="9"/>
      <c r="U183" s="9"/>
      <c r="V183" s="9"/>
      <c r="W183" s="9"/>
      <c r="X183" s="9"/>
      <c r="Y183" s="9"/>
      <c r="Z183" s="9"/>
    </row>
    <row r="184" ht="15.75" customHeight="1" spans="1:26">
      <c r="A184" s="9"/>
      <c r="B184" s="9"/>
      <c r="C184" s="9"/>
      <c r="D184" s="9"/>
      <c r="E184" s="10"/>
      <c r="F184" s="9"/>
      <c r="G184" s="22"/>
      <c r="H184" s="9"/>
      <c r="I184" s="9"/>
      <c r="J184" s="9"/>
      <c r="K184" s="9"/>
      <c r="L184" s="9"/>
      <c r="M184" s="9"/>
      <c r="N184" s="9"/>
      <c r="O184" s="9"/>
      <c r="P184" s="9"/>
      <c r="Q184" s="9"/>
      <c r="R184" s="9"/>
      <c r="S184" s="9"/>
      <c r="T184" s="9"/>
      <c r="U184" s="9"/>
      <c r="V184" s="9"/>
      <c r="W184" s="9"/>
      <c r="X184" s="9"/>
      <c r="Y184" s="9"/>
      <c r="Z184" s="9"/>
    </row>
    <row r="185" ht="15.75" customHeight="1" spans="1:26">
      <c r="A185" s="9"/>
      <c r="B185" s="9"/>
      <c r="C185" s="9"/>
      <c r="D185" s="9"/>
      <c r="E185" s="10"/>
      <c r="F185" s="9"/>
      <c r="G185" s="22"/>
      <c r="H185" s="9"/>
      <c r="I185" s="9"/>
      <c r="J185" s="9"/>
      <c r="K185" s="9"/>
      <c r="L185" s="9"/>
      <c r="M185" s="9"/>
      <c r="N185" s="9"/>
      <c r="O185" s="9"/>
      <c r="P185" s="9"/>
      <c r="Q185" s="9"/>
      <c r="R185" s="9"/>
      <c r="S185" s="9"/>
      <c r="T185" s="9"/>
      <c r="U185" s="9"/>
      <c r="V185" s="9"/>
      <c r="W185" s="9"/>
      <c r="X185" s="9"/>
      <c r="Y185" s="9"/>
      <c r="Z185" s="9"/>
    </row>
    <row r="186" ht="15.75" customHeight="1" spans="1:26">
      <c r="A186" s="9"/>
      <c r="B186" s="9"/>
      <c r="C186" s="9"/>
      <c r="D186" s="9"/>
      <c r="E186" s="10"/>
      <c r="F186" s="9"/>
      <c r="G186" s="22"/>
      <c r="H186" s="9"/>
      <c r="I186" s="9"/>
      <c r="J186" s="9"/>
      <c r="K186" s="9"/>
      <c r="L186" s="9"/>
      <c r="M186" s="9"/>
      <c r="N186" s="9"/>
      <c r="O186" s="9"/>
      <c r="P186" s="9"/>
      <c r="Q186" s="9"/>
      <c r="R186" s="9"/>
      <c r="S186" s="9"/>
      <c r="T186" s="9"/>
      <c r="U186" s="9"/>
      <c r="V186" s="9"/>
      <c r="W186" s="9"/>
      <c r="X186" s="9"/>
      <c r="Y186" s="9"/>
      <c r="Z186" s="9"/>
    </row>
    <row r="187" ht="15.75" customHeight="1" spans="1:26">
      <c r="A187" s="9"/>
      <c r="B187" s="9"/>
      <c r="C187" s="9"/>
      <c r="D187" s="9"/>
      <c r="E187" s="10"/>
      <c r="F187" s="9"/>
      <c r="G187" s="22"/>
      <c r="H187" s="9"/>
      <c r="I187" s="9"/>
      <c r="J187" s="9"/>
      <c r="K187" s="9"/>
      <c r="L187" s="9"/>
      <c r="M187" s="9"/>
      <c r="N187" s="9"/>
      <c r="O187" s="9"/>
      <c r="P187" s="9"/>
      <c r="Q187" s="9"/>
      <c r="R187" s="9"/>
      <c r="S187" s="9"/>
      <c r="T187" s="9"/>
      <c r="U187" s="9"/>
      <c r="V187" s="9"/>
      <c r="W187" s="9"/>
      <c r="X187" s="9"/>
      <c r="Y187" s="9"/>
      <c r="Z187" s="9"/>
    </row>
    <row r="188" ht="15.75" customHeight="1" spans="1:26">
      <c r="A188" s="9"/>
      <c r="B188" s="9"/>
      <c r="C188" s="9"/>
      <c r="D188" s="9"/>
      <c r="E188" s="10"/>
      <c r="F188" s="9"/>
      <c r="G188" s="22"/>
      <c r="H188" s="9"/>
      <c r="I188" s="9"/>
      <c r="J188" s="9"/>
      <c r="K188" s="9"/>
      <c r="L188" s="9"/>
      <c r="M188" s="9"/>
      <c r="N188" s="9"/>
      <c r="O188" s="9"/>
      <c r="P188" s="9"/>
      <c r="Q188" s="9"/>
      <c r="R188" s="9"/>
      <c r="S188" s="9"/>
      <c r="T188" s="9"/>
      <c r="U188" s="9"/>
      <c r="V188" s="9"/>
      <c r="W188" s="9"/>
      <c r="X188" s="9"/>
      <c r="Y188" s="9"/>
      <c r="Z188" s="9"/>
    </row>
    <row r="189" ht="15.75" customHeight="1" spans="1:26">
      <c r="A189" s="9"/>
      <c r="B189" s="9"/>
      <c r="C189" s="9"/>
      <c r="D189" s="9"/>
      <c r="E189" s="10"/>
      <c r="F189" s="9"/>
      <c r="G189" s="22"/>
      <c r="H189" s="9"/>
      <c r="I189" s="9"/>
      <c r="J189" s="9"/>
      <c r="K189" s="9"/>
      <c r="L189" s="9"/>
      <c r="M189" s="9"/>
      <c r="N189" s="9"/>
      <c r="O189" s="9"/>
      <c r="P189" s="9"/>
      <c r="Q189" s="9"/>
      <c r="R189" s="9"/>
      <c r="S189" s="9"/>
      <c r="T189" s="9"/>
      <c r="U189" s="9"/>
      <c r="V189" s="9"/>
      <c r="W189" s="9"/>
      <c r="X189" s="9"/>
      <c r="Y189" s="9"/>
      <c r="Z189" s="9"/>
    </row>
    <row r="190" ht="15.75" customHeight="1" spans="1:26">
      <c r="A190" s="9"/>
      <c r="B190" s="9"/>
      <c r="C190" s="9"/>
      <c r="D190" s="9"/>
      <c r="E190" s="10"/>
      <c r="F190" s="9"/>
      <c r="G190" s="22"/>
      <c r="H190" s="9"/>
      <c r="I190" s="9"/>
      <c r="J190" s="9"/>
      <c r="K190" s="9"/>
      <c r="L190" s="9"/>
      <c r="M190" s="9"/>
      <c r="N190" s="9"/>
      <c r="O190" s="9"/>
      <c r="P190" s="9"/>
      <c r="Q190" s="9"/>
      <c r="R190" s="9"/>
      <c r="S190" s="9"/>
      <c r="T190" s="9"/>
      <c r="U190" s="9"/>
      <c r="V190" s="9"/>
      <c r="W190" s="9"/>
      <c r="X190" s="9"/>
      <c r="Y190" s="9"/>
      <c r="Z190" s="9"/>
    </row>
    <row r="191" ht="15.75" customHeight="1" spans="1:26">
      <c r="A191" s="9"/>
      <c r="B191" s="9"/>
      <c r="C191" s="9"/>
      <c r="D191" s="9"/>
      <c r="E191" s="10"/>
      <c r="F191" s="9"/>
      <c r="G191" s="22"/>
      <c r="H191" s="9"/>
      <c r="I191" s="9"/>
      <c r="J191" s="9"/>
      <c r="K191" s="9"/>
      <c r="L191" s="9"/>
      <c r="M191" s="9"/>
      <c r="N191" s="9"/>
      <c r="O191" s="9"/>
      <c r="P191" s="9"/>
      <c r="Q191" s="9"/>
      <c r="R191" s="9"/>
      <c r="S191" s="9"/>
      <c r="T191" s="9"/>
      <c r="U191" s="9"/>
      <c r="V191" s="9"/>
      <c r="W191" s="9"/>
      <c r="X191" s="9"/>
      <c r="Y191" s="9"/>
      <c r="Z191" s="9"/>
    </row>
    <row r="192" ht="15.75" customHeight="1" spans="1:26">
      <c r="A192" s="9"/>
      <c r="B192" s="9"/>
      <c r="C192" s="9"/>
      <c r="D192" s="9"/>
      <c r="E192" s="10"/>
      <c r="F192" s="9"/>
      <c r="G192" s="22"/>
      <c r="H192" s="9"/>
      <c r="I192" s="9"/>
      <c r="J192" s="9"/>
      <c r="K192" s="9"/>
      <c r="L192" s="9"/>
      <c r="M192" s="9"/>
      <c r="N192" s="9"/>
      <c r="O192" s="9"/>
      <c r="P192" s="9"/>
      <c r="Q192" s="9"/>
      <c r="R192" s="9"/>
      <c r="S192" s="9"/>
      <c r="T192" s="9"/>
      <c r="U192" s="9"/>
      <c r="V192" s="9"/>
      <c r="W192" s="9"/>
      <c r="X192" s="9"/>
      <c r="Y192" s="9"/>
      <c r="Z192" s="9"/>
    </row>
    <row r="193" ht="15.75" customHeight="1" spans="1:26">
      <c r="A193" s="9"/>
      <c r="B193" s="9"/>
      <c r="C193" s="9"/>
      <c r="D193" s="9"/>
      <c r="E193" s="10"/>
      <c r="F193" s="9"/>
      <c r="G193" s="22"/>
      <c r="H193" s="9"/>
      <c r="I193" s="9"/>
      <c r="J193" s="9"/>
      <c r="K193" s="9"/>
      <c r="L193" s="9"/>
      <c r="M193" s="9"/>
      <c r="N193" s="9"/>
      <c r="O193" s="9"/>
      <c r="P193" s="9"/>
      <c r="Q193" s="9"/>
      <c r="R193" s="9"/>
      <c r="S193" s="9"/>
      <c r="T193" s="9"/>
      <c r="U193" s="9"/>
      <c r="V193" s="9"/>
      <c r="W193" s="9"/>
      <c r="X193" s="9"/>
      <c r="Y193" s="9"/>
      <c r="Z193" s="9"/>
    </row>
    <row r="194" ht="15.75" customHeight="1" spans="1:26">
      <c r="A194" s="9"/>
      <c r="B194" s="9"/>
      <c r="C194" s="9"/>
      <c r="D194" s="9"/>
      <c r="E194" s="10"/>
      <c r="F194" s="9"/>
      <c r="G194" s="22"/>
      <c r="H194" s="9"/>
      <c r="I194" s="9"/>
      <c r="J194" s="9"/>
      <c r="K194" s="9"/>
      <c r="L194" s="9"/>
      <c r="M194" s="9"/>
      <c r="N194" s="9"/>
      <c r="O194" s="9"/>
      <c r="P194" s="9"/>
      <c r="Q194" s="9"/>
      <c r="R194" s="9"/>
      <c r="S194" s="9"/>
      <c r="T194" s="9"/>
      <c r="U194" s="9"/>
      <c r="V194" s="9"/>
      <c r="W194" s="9"/>
      <c r="X194" s="9"/>
      <c r="Y194" s="9"/>
      <c r="Z194" s="9"/>
    </row>
    <row r="195" ht="15.75" customHeight="1" spans="1:26">
      <c r="A195" s="9"/>
      <c r="B195" s="9"/>
      <c r="C195" s="9"/>
      <c r="D195" s="9"/>
      <c r="E195" s="10"/>
      <c r="F195" s="9"/>
      <c r="G195" s="22"/>
      <c r="H195" s="9"/>
      <c r="I195" s="9"/>
      <c r="J195" s="9"/>
      <c r="K195" s="9"/>
      <c r="L195" s="9"/>
      <c r="M195" s="9"/>
      <c r="N195" s="9"/>
      <c r="O195" s="9"/>
      <c r="P195" s="9"/>
      <c r="Q195" s="9"/>
      <c r="R195" s="9"/>
      <c r="S195" s="9"/>
      <c r="T195" s="9"/>
      <c r="U195" s="9"/>
      <c r="V195" s="9"/>
      <c r="W195" s="9"/>
      <c r="X195" s="9"/>
      <c r="Y195" s="9"/>
      <c r="Z195" s="9"/>
    </row>
    <row r="196" ht="15.75" customHeight="1" spans="1:26">
      <c r="A196" s="9"/>
      <c r="B196" s="9"/>
      <c r="C196" s="9"/>
      <c r="D196" s="9"/>
      <c r="E196" s="10"/>
      <c r="F196" s="9"/>
      <c r="G196" s="22"/>
      <c r="H196" s="9"/>
      <c r="I196" s="9"/>
      <c r="J196" s="9"/>
      <c r="K196" s="9"/>
      <c r="L196" s="9"/>
      <c r="M196" s="9"/>
      <c r="N196" s="9"/>
      <c r="O196" s="9"/>
      <c r="P196" s="9"/>
      <c r="Q196" s="9"/>
      <c r="R196" s="9"/>
      <c r="S196" s="9"/>
      <c r="T196" s="9"/>
      <c r="U196" s="9"/>
      <c r="V196" s="9"/>
      <c r="W196" s="9"/>
      <c r="X196" s="9"/>
      <c r="Y196" s="9"/>
      <c r="Z196" s="9"/>
    </row>
    <row r="197" ht="15.75" customHeight="1" spans="1:26">
      <c r="A197" s="9"/>
      <c r="B197" s="9"/>
      <c r="C197" s="9"/>
      <c r="D197" s="9"/>
      <c r="E197" s="10"/>
      <c r="F197" s="9"/>
      <c r="G197" s="22"/>
      <c r="H197" s="9"/>
      <c r="I197" s="9"/>
      <c r="J197" s="9"/>
      <c r="K197" s="9"/>
      <c r="L197" s="9"/>
      <c r="M197" s="9"/>
      <c r="N197" s="9"/>
      <c r="O197" s="9"/>
      <c r="P197" s="9"/>
      <c r="Q197" s="9"/>
      <c r="R197" s="9"/>
      <c r="S197" s="9"/>
      <c r="T197" s="9"/>
      <c r="U197" s="9"/>
      <c r="V197" s="9"/>
      <c r="W197" s="9"/>
      <c r="X197" s="9"/>
      <c r="Y197" s="9"/>
      <c r="Z197" s="9"/>
    </row>
    <row r="198" ht="15.75" customHeight="1" spans="1:26">
      <c r="A198" s="9"/>
      <c r="B198" s="9"/>
      <c r="C198" s="9"/>
      <c r="D198" s="9"/>
      <c r="E198" s="10"/>
      <c r="F198" s="9"/>
      <c r="G198" s="22"/>
      <c r="H198" s="9"/>
      <c r="I198" s="9"/>
      <c r="J198" s="9"/>
      <c r="K198" s="9"/>
      <c r="L198" s="9"/>
      <c r="M198" s="9"/>
      <c r="N198" s="9"/>
      <c r="O198" s="9"/>
      <c r="P198" s="9"/>
      <c r="Q198" s="9"/>
      <c r="R198" s="9"/>
      <c r="S198" s="9"/>
      <c r="T198" s="9"/>
      <c r="U198" s="9"/>
      <c r="V198" s="9"/>
      <c r="W198" s="9"/>
      <c r="X198" s="9"/>
      <c r="Y198" s="9"/>
      <c r="Z198" s="9"/>
    </row>
    <row r="199" ht="15.75" customHeight="1" spans="1:26">
      <c r="A199" s="9"/>
      <c r="B199" s="9"/>
      <c r="C199" s="9"/>
      <c r="D199" s="9"/>
      <c r="E199" s="10"/>
      <c r="F199" s="9"/>
      <c r="G199" s="22"/>
      <c r="H199" s="9"/>
      <c r="I199" s="9"/>
      <c r="J199" s="9"/>
      <c r="K199" s="9"/>
      <c r="L199" s="9"/>
      <c r="M199" s="9"/>
      <c r="N199" s="9"/>
      <c r="O199" s="9"/>
      <c r="P199" s="9"/>
      <c r="Q199" s="9"/>
      <c r="R199" s="9"/>
      <c r="S199" s="9"/>
      <c r="T199" s="9"/>
      <c r="U199" s="9"/>
      <c r="V199" s="9"/>
      <c r="W199" s="9"/>
      <c r="X199" s="9"/>
      <c r="Y199" s="9"/>
      <c r="Z199" s="9"/>
    </row>
    <row r="200" ht="15.75" customHeight="1" spans="1:26">
      <c r="A200" s="9"/>
      <c r="B200" s="9"/>
      <c r="C200" s="9"/>
      <c r="D200" s="9"/>
      <c r="E200" s="10"/>
      <c r="F200" s="9"/>
      <c r="G200" s="22"/>
      <c r="H200" s="9"/>
      <c r="I200" s="9"/>
      <c r="J200" s="9"/>
      <c r="K200" s="9"/>
      <c r="L200" s="9"/>
      <c r="M200" s="9"/>
      <c r="N200" s="9"/>
      <c r="O200" s="9"/>
      <c r="P200" s="9"/>
      <c r="Q200" s="9"/>
      <c r="R200" s="9"/>
      <c r="S200" s="9"/>
      <c r="T200" s="9"/>
      <c r="U200" s="9"/>
      <c r="V200" s="9"/>
      <c r="W200" s="9"/>
      <c r="X200" s="9"/>
      <c r="Y200" s="9"/>
      <c r="Z200" s="9"/>
    </row>
    <row r="201" ht="15.75" customHeight="1" spans="1:26">
      <c r="A201" s="9"/>
      <c r="B201" s="9"/>
      <c r="C201" s="9"/>
      <c r="D201" s="9"/>
      <c r="E201" s="10"/>
      <c r="F201" s="9"/>
      <c r="G201" s="22"/>
      <c r="H201" s="9"/>
      <c r="I201" s="9"/>
      <c r="J201" s="9"/>
      <c r="K201" s="9"/>
      <c r="L201" s="9"/>
      <c r="M201" s="9"/>
      <c r="N201" s="9"/>
      <c r="O201" s="9"/>
      <c r="P201" s="9"/>
      <c r="Q201" s="9"/>
      <c r="R201" s="9"/>
      <c r="S201" s="9"/>
      <c r="T201" s="9"/>
      <c r="U201" s="9"/>
      <c r="V201" s="9"/>
      <c r="W201" s="9"/>
      <c r="X201" s="9"/>
      <c r="Y201" s="9"/>
      <c r="Z201" s="9"/>
    </row>
    <row r="202" ht="15.75" customHeight="1" spans="1:26">
      <c r="A202" s="9"/>
      <c r="B202" s="9"/>
      <c r="C202" s="9"/>
      <c r="D202" s="9"/>
      <c r="E202" s="10"/>
      <c r="F202" s="9"/>
      <c r="G202" s="22"/>
      <c r="H202" s="9"/>
      <c r="I202" s="9"/>
      <c r="J202" s="9"/>
      <c r="K202" s="9"/>
      <c r="L202" s="9"/>
      <c r="M202" s="9"/>
      <c r="N202" s="9"/>
      <c r="O202" s="9"/>
      <c r="P202" s="9"/>
      <c r="Q202" s="9"/>
      <c r="R202" s="9"/>
      <c r="S202" s="9"/>
      <c r="T202" s="9"/>
      <c r="U202" s="9"/>
      <c r="V202" s="9"/>
      <c r="W202" s="9"/>
      <c r="X202" s="9"/>
      <c r="Y202" s="9"/>
      <c r="Z202" s="9"/>
    </row>
    <row r="203" ht="15.75" customHeight="1" spans="1:26">
      <c r="A203" s="9"/>
      <c r="B203" s="9"/>
      <c r="C203" s="9"/>
      <c r="D203" s="9"/>
      <c r="E203" s="10"/>
      <c r="F203" s="9"/>
      <c r="G203" s="22"/>
      <c r="H203" s="9"/>
      <c r="I203" s="9"/>
      <c r="J203" s="9"/>
      <c r="K203" s="9"/>
      <c r="L203" s="9"/>
      <c r="M203" s="9"/>
      <c r="N203" s="9"/>
      <c r="O203" s="9"/>
      <c r="P203" s="9"/>
      <c r="Q203" s="9"/>
      <c r="R203" s="9"/>
      <c r="S203" s="9"/>
      <c r="T203" s="9"/>
      <c r="U203" s="9"/>
      <c r="V203" s="9"/>
      <c r="W203" s="9"/>
      <c r="X203" s="9"/>
      <c r="Y203" s="9"/>
      <c r="Z203" s="9"/>
    </row>
    <row r="204" ht="15.75" customHeight="1" spans="1:26">
      <c r="A204" s="9"/>
      <c r="B204" s="9"/>
      <c r="C204" s="9"/>
      <c r="D204" s="9"/>
      <c r="E204" s="10"/>
      <c r="F204" s="9"/>
      <c r="G204" s="22"/>
      <c r="H204" s="9"/>
      <c r="I204" s="9"/>
      <c r="J204" s="9"/>
      <c r="K204" s="9"/>
      <c r="L204" s="9"/>
      <c r="M204" s="9"/>
      <c r="N204" s="9"/>
      <c r="O204" s="9"/>
      <c r="P204" s="9"/>
      <c r="Q204" s="9"/>
      <c r="R204" s="9"/>
      <c r="S204" s="9"/>
      <c r="T204" s="9"/>
      <c r="U204" s="9"/>
      <c r="V204" s="9"/>
      <c r="W204" s="9"/>
      <c r="X204" s="9"/>
      <c r="Y204" s="9"/>
      <c r="Z204" s="9"/>
    </row>
    <row r="205" ht="15.75" customHeight="1" spans="1:26">
      <c r="A205" s="9"/>
      <c r="B205" s="9"/>
      <c r="C205" s="9"/>
      <c r="D205" s="9"/>
      <c r="E205" s="10"/>
      <c r="F205" s="9"/>
      <c r="G205" s="22"/>
      <c r="H205" s="9"/>
      <c r="I205" s="9"/>
      <c r="J205" s="9"/>
      <c r="K205" s="9"/>
      <c r="L205" s="9"/>
      <c r="M205" s="9"/>
      <c r="N205" s="9"/>
      <c r="O205" s="9"/>
      <c r="P205" s="9"/>
      <c r="Q205" s="9"/>
      <c r="R205" s="9"/>
      <c r="S205" s="9"/>
      <c r="T205" s="9"/>
      <c r="U205" s="9"/>
      <c r="V205" s="9"/>
      <c r="W205" s="9"/>
      <c r="X205" s="9"/>
      <c r="Y205" s="9"/>
      <c r="Z205" s="9"/>
    </row>
    <row r="206" ht="15.75" customHeight="1" spans="1:26">
      <c r="A206" s="9"/>
      <c r="B206" s="9"/>
      <c r="C206" s="9"/>
      <c r="D206" s="9"/>
      <c r="E206" s="10"/>
      <c r="F206" s="9"/>
      <c r="G206" s="22"/>
      <c r="H206" s="9"/>
      <c r="I206" s="9"/>
      <c r="J206" s="9"/>
      <c r="K206" s="9"/>
      <c r="L206" s="9"/>
      <c r="M206" s="9"/>
      <c r="N206" s="9"/>
      <c r="O206" s="9"/>
      <c r="P206" s="9"/>
      <c r="Q206" s="9"/>
      <c r="R206" s="9"/>
      <c r="S206" s="9"/>
      <c r="T206" s="9"/>
      <c r="U206" s="9"/>
      <c r="V206" s="9"/>
      <c r="W206" s="9"/>
      <c r="X206" s="9"/>
      <c r="Y206" s="9"/>
      <c r="Z206" s="9"/>
    </row>
    <row r="207" ht="15.75" customHeight="1" spans="1:26">
      <c r="A207" s="9"/>
      <c r="B207" s="9"/>
      <c r="C207" s="9"/>
      <c r="D207" s="9"/>
      <c r="E207" s="10"/>
      <c r="F207" s="9"/>
      <c r="G207" s="22"/>
      <c r="H207" s="9"/>
      <c r="I207" s="9"/>
      <c r="J207" s="9"/>
      <c r="K207" s="9"/>
      <c r="L207" s="9"/>
      <c r="M207" s="9"/>
      <c r="N207" s="9"/>
      <c r="O207" s="9"/>
      <c r="P207" s="9"/>
      <c r="Q207" s="9"/>
      <c r="R207" s="9"/>
      <c r="S207" s="9"/>
      <c r="T207" s="9"/>
      <c r="U207" s="9"/>
      <c r="V207" s="9"/>
      <c r="W207" s="9"/>
      <c r="X207" s="9"/>
      <c r="Y207" s="9"/>
      <c r="Z207" s="9"/>
    </row>
    <row r="208" ht="15.75" customHeight="1" spans="1:26">
      <c r="A208" s="9"/>
      <c r="B208" s="9"/>
      <c r="C208" s="9"/>
      <c r="D208" s="9"/>
      <c r="E208" s="10"/>
      <c r="F208" s="9"/>
      <c r="G208" s="22"/>
      <c r="H208" s="9"/>
      <c r="I208" s="9"/>
      <c r="J208" s="9"/>
      <c r="K208" s="9"/>
      <c r="L208" s="9"/>
      <c r="M208" s="9"/>
      <c r="N208" s="9"/>
      <c r="O208" s="9"/>
      <c r="P208" s="9"/>
      <c r="Q208" s="9"/>
      <c r="R208" s="9"/>
      <c r="S208" s="9"/>
      <c r="T208" s="9"/>
      <c r="U208" s="9"/>
      <c r="V208" s="9"/>
      <c r="W208" s="9"/>
      <c r="X208" s="9"/>
      <c r="Y208" s="9"/>
      <c r="Z208" s="9"/>
    </row>
    <row r="209" ht="15.75" customHeight="1" spans="1:26">
      <c r="A209" s="9"/>
      <c r="B209" s="9"/>
      <c r="C209" s="9"/>
      <c r="D209" s="9"/>
      <c r="E209" s="10"/>
      <c r="F209" s="9"/>
      <c r="G209" s="22"/>
      <c r="H209" s="9"/>
      <c r="I209" s="9"/>
      <c r="J209" s="9"/>
      <c r="K209" s="9"/>
      <c r="L209" s="9"/>
      <c r="M209" s="9"/>
      <c r="N209" s="9"/>
      <c r="O209" s="9"/>
      <c r="P209" s="9"/>
      <c r="Q209" s="9"/>
      <c r="R209" s="9"/>
      <c r="S209" s="9"/>
      <c r="T209" s="9"/>
      <c r="U209" s="9"/>
      <c r="V209" s="9"/>
      <c r="W209" s="9"/>
      <c r="X209" s="9"/>
      <c r="Y209" s="9"/>
      <c r="Z209" s="9"/>
    </row>
    <row r="210" ht="15.75" customHeight="1" spans="1:26">
      <c r="A210" s="9"/>
      <c r="B210" s="9"/>
      <c r="C210" s="9"/>
      <c r="D210" s="9"/>
      <c r="E210" s="10"/>
      <c r="F210" s="9"/>
      <c r="G210" s="22"/>
      <c r="H210" s="9"/>
      <c r="I210" s="9"/>
      <c r="J210" s="9"/>
      <c r="K210" s="9"/>
      <c r="L210" s="9"/>
      <c r="M210" s="9"/>
      <c r="N210" s="9"/>
      <c r="O210" s="9"/>
      <c r="P210" s="9"/>
      <c r="Q210" s="9"/>
      <c r="R210" s="9"/>
      <c r="S210" s="9"/>
      <c r="T210" s="9"/>
      <c r="U210" s="9"/>
      <c r="V210" s="9"/>
      <c r="W210" s="9"/>
      <c r="X210" s="9"/>
      <c r="Y210" s="9"/>
      <c r="Z210" s="9"/>
    </row>
    <row r="211" ht="15.75" customHeight="1" spans="1:26">
      <c r="A211" s="9"/>
      <c r="B211" s="9"/>
      <c r="C211" s="9"/>
      <c r="D211" s="9"/>
      <c r="E211" s="10"/>
      <c r="F211" s="9"/>
      <c r="G211" s="22"/>
      <c r="H211" s="9"/>
      <c r="I211" s="9"/>
      <c r="J211" s="9"/>
      <c r="K211" s="9"/>
      <c r="L211" s="9"/>
      <c r="M211" s="9"/>
      <c r="N211" s="9"/>
      <c r="O211" s="9"/>
      <c r="P211" s="9"/>
      <c r="Q211" s="9"/>
      <c r="R211" s="9"/>
      <c r="S211" s="9"/>
      <c r="T211" s="9"/>
      <c r="U211" s="9"/>
      <c r="V211" s="9"/>
      <c r="W211" s="9"/>
      <c r="X211" s="9"/>
      <c r="Y211" s="9"/>
      <c r="Z211" s="9"/>
    </row>
    <row r="212" ht="15.75" customHeight="1" spans="1:26">
      <c r="A212" s="9"/>
      <c r="B212" s="9"/>
      <c r="C212" s="9"/>
      <c r="D212" s="9"/>
      <c r="E212" s="10"/>
      <c r="F212" s="9"/>
      <c r="G212" s="22"/>
      <c r="H212" s="9"/>
      <c r="I212" s="9"/>
      <c r="J212" s="9"/>
      <c r="K212" s="9"/>
      <c r="L212" s="9"/>
      <c r="M212" s="9"/>
      <c r="N212" s="9"/>
      <c r="O212" s="9"/>
      <c r="P212" s="9"/>
      <c r="Q212" s="9"/>
      <c r="R212" s="9"/>
      <c r="S212" s="9"/>
      <c r="T212" s="9"/>
      <c r="U212" s="9"/>
      <c r="V212" s="9"/>
      <c r="W212" s="9"/>
      <c r="X212" s="9"/>
      <c r="Y212" s="9"/>
      <c r="Z212" s="9"/>
    </row>
    <row r="213" ht="15.75" customHeight="1" spans="1:26">
      <c r="A213" s="9"/>
      <c r="B213" s="9"/>
      <c r="C213" s="9"/>
      <c r="D213" s="9"/>
      <c r="E213" s="10"/>
      <c r="F213" s="9"/>
      <c r="G213" s="22"/>
      <c r="H213" s="9"/>
      <c r="I213" s="9"/>
      <c r="J213" s="9"/>
      <c r="K213" s="9"/>
      <c r="L213" s="9"/>
      <c r="M213" s="9"/>
      <c r="N213" s="9"/>
      <c r="O213" s="9"/>
      <c r="P213" s="9"/>
      <c r="Q213" s="9"/>
      <c r="R213" s="9"/>
      <c r="S213" s="9"/>
      <c r="T213" s="9"/>
      <c r="U213" s="9"/>
      <c r="V213" s="9"/>
      <c r="W213" s="9"/>
      <c r="X213" s="9"/>
      <c r="Y213" s="9"/>
      <c r="Z213" s="9"/>
    </row>
    <row r="214" ht="15.75" customHeight="1" spans="1:26">
      <c r="A214" s="9"/>
      <c r="B214" s="9"/>
      <c r="C214" s="9"/>
      <c r="D214" s="9"/>
      <c r="E214" s="10"/>
      <c r="F214" s="9"/>
      <c r="G214" s="22"/>
      <c r="H214" s="9"/>
      <c r="I214" s="9"/>
      <c r="J214" s="9"/>
      <c r="K214" s="9"/>
      <c r="L214" s="9"/>
      <c r="M214" s="9"/>
      <c r="N214" s="9"/>
      <c r="O214" s="9"/>
      <c r="P214" s="9"/>
      <c r="Q214" s="9"/>
      <c r="R214" s="9"/>
      <c r="S214" s="9"/>
      <c r="T214" s="9"/>
      <c r="U214" s="9"/>
      <c r="V214" s="9"/>
      <c r="W214" s="9"/>
      <c r="X214" s="9"/>
      <c r="Y214" s="9"/>
      <c r="Z214" s="9"/>
    </row>
    <row r="215" ht="15.75" customHeight="1" spans="1:26">
      <c r="A215" s="9"/>
      <c r="B215" s="9"/>
      <c r="C215" s="9"/>
      <c r="D215" s="9"/>
      <c r="E215" s="10"/>
      <c r="F215" s="9"/>
      <c r="G215" s="22"/>
      <c r="H215" s="9"/>
      <c r="I215" s="9"/>
      <c r="J215" s="9"/>
      <c r="K215" s="9"/>
      <c r="L215" s="9"/>
      <c r="M215" s="9"/>
      <c r="N215" s="9"/>
      <c r="O215" s="9"/>
      <c r="P215" s="9"/>
      <c r="Q215" s="9"/>
      <c r="R215" s="9"/>
      <c r="S215" s="9"/>
      <c r="T215" s="9"/>
      <c r="U215" s="9"/>
      <c r="V215" s="9"/>
      <c r="W215" s="9"/>
      <c r="X215" s="9"/>
      <c r="Y215" s="9"/>
      <c r="Z215" s="9"/>
    </row>
    <row r="216" ht="15.75" customHeight="1" spans="1:26">
      <c r="A216" s="9"/>
      <c r="B216" s="9"/>
      <c r="C216" s="9"/>
      <c r="D216" s="9"/>
      <c r="E216" s="10"/>
      <c r="F216" s="9"/>
      <c r="G216" s="22"/>
      <c r="H216" s="9"/>
      <c r="I216" s="9"/>
      <c r="J216" s="9"/>
      <c r="K216" s="9"/>
      <c r="L216" s="9"/>
      <c r="M216" s="9"/>
      <c r="N216" s="9"/>
      <c r="O216" s="9"/>
      <c r="P216" s="9"/>
      <c r="Q216" s="9"/>
      <c r="R216" s="9"/>
      <c r="S216" s="9"/>
      <c r="T216" s="9"/>
      <c r="U216" s="9"/>
      <c r="V216" s="9"/>
      <c r="W216" s="9"/>
      <c r="X216" s="9"/>
      <c r="Y216" s="9"/>
      <c r="Z216" s="9"/>
    </row>
    <row r="217" ht="15.75" customHeight="1" spans="1:26">
      <c r="A217" s="9"/>
      <c r="B217" s="9"/>
      <c r="C217" s="9"/>
      <c r="D217" s="9"/>
      <c r="E217" s="10"/>
      <c r="F217" s="9"/>
      <c r="G217" s="22"/>
      <c r="H217" s="9"/>
      <c r="I217" s="9"/>
      <c r="J217" s="9"/>
      <c r="K217" s="9"/>
      <c r="L217" s="9"/>
      <c r="M217" s="9"/>
      <c r="N217" s="9"/>
      <c r="O217" s="9"/>
      <c r="P217" s="9"/>
      <c r="Q217" s="9"/>
      <c r="R217" s="9"/>
      <c r="S217" s="9"/>
      <c r="T217" s="9"/>
      <c r="U217" s="9"/>
      <c r="V217" s="9"/>
      <c r="W217" s="9"/>
      <c r="X217" s="9"/>
      <c r="Y217" s="9"/>
      <c r="Z217" s="9"/>
    </row>
    <row r="218" ht="15.75" customHeight="1" spans="1:26">
      <c r="A218" s="9"/>
      <c r="B218" s="9"/>
      <c r="C218" s="9"/>
      <c r="D218" s="9"/>
      <c r="E218" s="10"/>
      <c r="F218" s="9"/>
      <c r="G218" s="22"/>
      <c r="H218" s="9"/>
      <c r="I218" s="9"/>
      <c r="J218" s="9"/>
      <c r="K218" s="9"/>
      <c r="L218" s="9"/>
      <c r="M218" s="9"/>
      <c r="N218" s="9"/>
      <c r="O218" s="9"/>
      <c r="P218" s="9"/>
      <c r="Q218" s="9"/>
      <c r="R218" s="9"/>
      <c r="S218" s="9"/>
      <c r="T218" s="9"/>
      <c r="U218" s="9"/>
      <c r="V218" s="9"/>
      <c r="W218" s="9"/>
      <c r="X218" s="9"/>
      <c r="Y218" s="9"/>
      <c r="Z218" s="9"/>
    </row>
    <row r="219" ht="15.75" customHeight="1" spans="1:26">
      <c r="A219" s="9"/>
      <c r="B219" s="9"/>
      <c r="C219" s="9"/>
      <c r="D219" s="9"/>
      <c r="E219" s="10"/>
      <c r="F219" s="9"/>
      <c r="G219" s="22"/>
      <c r="H219" s="9"/>
      <c r="I219" s="9"/>
      <c r="J219" s="9"/>
      <c r="K219" s="9"/>
      <c r="L219" s="9"/>
      <c r="M219" s="9"/>
      <c r="N219" s="9"/>
      <c r="O219" s="9"/>
      <c r="P219" s="9"/>
      <c r="Q219" s="9"/>
      <c r="R219" s="9"/>
      <c r="S219" s="9"/>
      <c r="T219" s="9"/>
      <c r="U219" s="9"/>
      <c r="V219" s="9"/>
      <c r="W219" s="9"/>
      <c r="X219" s="9"/>
      <c r="Y219" s="9"/>
      <c r="Z219" s="9"/>
    </row>
    <row r="220" ht="15.75" customHeight="1" spans="1:26">
      <c r="A220" s="9"/>
      <c r="B220" s="9"/>
      <c r="C220" s="9"/>
      <c r="D220" s="9"/>
      <c r="E220" s="10"/>
      <c r="F220" s="9"/>
      <c r="G220" s="22"/>
      <c r="H220" s="9"/>
      <c r="I220" s="9"/>
      <c r="J220" s="9"/>
      <c r="K220" s="9"/>
      <c r="L220" s="9"/>
      <c r="M220" s="9"/>
      <c r="N220" s="9"/>
      <c r="O220" s="9"/>
      <c r="P220" s="9"/>
      <c r="Q220" s="9"/>
      <c r="R220" s="9"/>
      <c r="S220" s="9"/>
      <c r="T220" s="9"/>
      <c r="U220" s="9"/>
      <c r="V220" s="9"/>
      <c r="W220" s="9"/>
      <c r="X220" s="9"/>
      <c r="Y220" s="9"/>
      <c r="Z220" s="9"/>
    </row>
    <row r="221" ht="15.75" customHeight="1" spans="1:26">
      <c r="A221" s="9"/>
      <c r="B221" s="9"/>
      <c r="C221" s="9"/>
      <c r="D221" s="9"/>
      <c r="E221" s="10"/>
      <c r="F221" s="9"/>
      <c r="G221" s="22"/>
      <c r="H221" s="9"/>
      <c r="I221" s="9"/>
      <c r="J221" s="9"/>
      <c r="K221" s="9"/>
      <c r="L221" s="9"/>
      <c r="M221" s="9"/>
      <c r="N221" s="9"/>
      <c r="O221" s="9"/>
      <c r="P221" s="9"/>
      <c r="Q221" s="9"/>
      <c r="R221" s="9"/>
      <c r="S221" s="9"/>
      <c r="T221" s="9"/>
      <c r="U221" s="9"/>
      <c r="V221" s="9"/>
      <c r="W221" s="9"/>
      <c r="X221" s="9"/>
      <c r="Y221" s="9"/>
      <c r="Z221" s="9"/>
    </row>
    <row r="222" ht="15.75" customHeight="1" spans="1:26">
      <c r="A222" s="9"/>
      <c r="B222" s="9"/>
      <c r="C222" s="9"/>
      <c r="D222" s="9"/>
      <c r="E222" s="10"/>
      <c r="F222" s="9"/>
      <c r="G222" s="22"/>
      <c r="H222" s="9"/>
      <c r="I222" s="9"/>
      <c r="J222" s="9"/>
      <c r="K222" s="9"/>
      <c r="L222" s="9"/>
      <c r="M222" s="9"/>
      <c r="N222" s="9"/>
      <c r="O222" s="9"/>
      <c r="P222" s="9"/>
      <c r="Q222" s="9"/>
      <c r="R222" s="9"/>
      <c r="S222" s="9"/>
      <c r="T222" s="9"/>
      <c r="U222" s="9"/>
      <c r="V222" s="9"/>
      <c r="W222" s="9"/>
      <c r="X222" s="9"/>
      <c r="Y222" s="9"/>
      <c r="Z222" s="9"/>
    </row>
    <row r="223" ht="15.75" customHeight="1" spans="1:26">
      <c r="A223" s="9"/>
      <c r="B223" s="9"/>
      <c r="C223" s="9"/>
      <c r="D223" s="9"/>
      <c r="E223" s="10"/>
      <c r="F223" s="9"/>
      <c r="G223" s="22"/>
      <c r="H223" s="9"/>
      <c r="I223" s="9"/>
      <c r="J223" s="9"/>
      <c r="K223" s="9"/>
      <c r="L223" s="9"/>
      <c r="M223" s="9"/>
      <c r="N223" s="9"/>
      <c r="O223" s="9"/>
      <c r="P223" s="9"/>
      <c r="Q223" s="9"/>
      <c r="R223" s="9"/>
      <c r="S223" s="9"/>
      <c r="T223" s="9"/>
      <c r="U223" s="9"/>
      <c r="V223" s="9"/>
      <c r="W223" s="9"/>
      <c r="X223" s="9"/>
      <c r="Y223" s="9"/>
      <c r="Z223" s="9"/>
    </row>
    <row r="224" ht="15.75" customHeight="1" spans="1:26">
      <c r="A224" s="9"/>
      <c r="B224" s="9"/>
      <c r="C224" s="9"/>
      <c r="D224" s="9"/>
      <c r="E224" s="10"/>
      <c r="F224" s="9"/>
      <c r="G224" s="22"/>
      <c r="H224" s="9"/>
      <c r="I224" s="9"/>
      <c r="J224" s="9"/>
      <c r="K224" s="9"/>
      <c r="L224" s="9"/>
      <c r="M224" s="9"/>
      <c r="N224" s="9"/>
      <c r="O224" s="9"/>
      <c r="P224" s="9"/>
      <c r="Q224" s="9"/>
      <c r="R224" s="9"/>
      <c r="S224" s="9"/>
      <c r="T224" s="9"/>
      <c r="U224" s="9"/>
      <c r="V224" s="9"/>
      <c r="W224" s="9"/>
      <c r="X224" s="9"/>
      <c r="Y224" s="9"/>
      <c r="Z224" s="9"/>
    </row>
    <row r="225" ht="15.75" customHeight="1" spans="1:26">
      <c r="A225" s="9"/>
      <c r="B225" s="9"/>
      <c r="C225" s="9"/>
      <c r="D225" s="9"/>
      <c r="E225" s="10"/>
      <c r="F225" s="9"/>
      <c r="G225" s="22"/>
      <c r="H225" s="9"/>
      <c r="I225" s="9"/>
      <c r="J225" s="9"/>
      <c r="K225" s="9"/>
      <c r="L225" s="9"/>
      <c r="M225" s="9"/>
      <c r="N225" s="9"/>
      <c r="O225" s="9"/>
      <c r="P225" s="9"/>
      <c r="Q225" s="9"/>
      <c r="R225" s="9"/>
      <c r="S225" s="9"/>
      <c r="T225" s="9"/>
      <c r="U225" s="9"/>
      <c r="V225" s="9"/>
      <c r="W225" s="9"/>
      <c r="X225" s="9"/>
      <c r="Y225" s="9"/>
      <c r="Z225" s="9"/>
    </row>
    <row r="226" ht="15.75" customHeight="1" spans="1:26">
      <c r="A226" s="9"/>
      <c r="B226" s="9"/>
      <c r="C226" s="9"/>
      <c r="D226" s="9"/>
      <c r="E226" s="10"/>
      <c r="F226" s="9"/>
      <c r="G226" s="22"/>
      <c r="H226" s="9"/>
      <c r="I226" s="9"/>
      <c r="J226" s="9"/>
      <c r="K226" s="9"/>
      <c r="L226" s="9"/>
      <c r="M226" s="9"/>
      <c r="N226" s="9"/>
      <c r="O226" s="9"/>
      <c r="P226" s="9"/>
      <c r="Q226" s="9"/>
      <c r="R226" s="9"/>
      <c r="S226" s="9"/>
      <c r="T226" s="9"/>
      <c r="U226" s="9"/>
      <c r="V226" s="9"/>
      <c r="W226" s="9"/>
      <c r="X226" s="9"/>
      <c r="Y226" s="9"/>
      <c r="Z226" s="9"/>
    </row>
    <row r="227" ht="15.75" customHeight="1" spans="1:26">
      <c r="A227" s="9"/>
      <c r="B227" s="9"/>
      <c r="C227" s="9"/>
      <c r="D227" s="9"/>
      <c r="E227" s="10"/>
      <c r="F227" s="9"/>
      <c r="G227" s="22"/>
      <c r="H227" s="9"/>
      <c r="I227" s="9"/>
      <c r="J227" s="9"/>
      <c r="K227" s="9"/>
      <c r="L227" s="9"/>
      <c r="M227" s="9"/>
      <c r="N227" s="9"/>
      <c r="O227" s="9"/>
      <c r="P227" s="9"/>
      <c r="Q227" s="9"/>
      <c r="R227" s="9"/>
      <c r="S227" s="9"/>
      <c r="T227" s="9"/>
      <c r="U227" s="9"/>
      <c r="V227" s="9"/>
      <c r="W227" s="9"/>
      <c r="X227" s="9"/>
      <c r="Y227" s="9"/>
      <c r="Z227" s="9"/>
    </row>
    <row r="228" ht="15.75" customHeight="1" spans="1:26">
      <c r="A228" s="9"/>
      <c r="B228" s="9"/>
      <c r="C228" s="9"/>
      <c r="D228" s="9"/>
      <c r="E228" s="10"/>
      <c r="F228" s="9"/>
      <c r="G228" s="22"/>
      <c r="H228" s="9"/>
      <c r="I228" s="9"/>
      <c r="J228" s="9"/>
      <c r="K228" s="9"/>
      <c r="L228" s="9"/>
      <c r="M228" s="9"/>
      <c r="N228" s="9"/>
      <c r="O228" s="9"/>
      <c r="P228" s="9"/>
      <c r="Q228" s="9"/>
      <c r="R228" s="9"/>
      <c r="S228" s="9"/>
      <c r="T228" s="9"/>
      <c r="U228" s="9"/>
      <c r="V228" s="9"/>
      <c r="W228" s="9"/>
      <c r="X228" s="9"/>
      <c r="Y228" s="9"/>
      <c r="Z228" s="9"/>
    </row>
    <row r="229" ht="15.75" customHeight="1" spans="1:26">
      <c r="A229" s="9"/>
      <c r="B229" s="9"/>
      <c r="C229" s="9"/>
      <c r="D229" s="9"/>
      <c r="E229" s="10"/>
      <c r="F229" s="9"/>
      <c r="G229" s="22"/>
      <c r="H229" s="9"/>
      <c r="I229" s="9"/>
      <c r="J229" s="9"/>
      <c r="K229" s="9"/>
      <c r="L229" s="9"/>
      <c r="M229" s="9"/>
      <c r="N229" s="9"/>
      <c r="O229" s="9"/>
      <c r="P229" s="9"/>
      <c r="Q229" s="9"/>
      <c r="R229" s="9"/>
      <c r="S229" s="9"/>
      <c r="T229" s="9"/>
      <c r="U229" s="9"/>
      <c r="V229" s="9"/>
      <c r="W229" s="9"/>
      <c r="X229" s="9"/>
      <c r="Y229" s="9"/>
      <c r="Z229" s="9"/>
    </row>
    <row r="230" ht="15.75" customHeight="1" spans="1:10">
      <c r="A230" s="9"/>
      <c r="B230" s="9"/>
      <c r="C230" s="9"/>
      <c r="D230" s="9"/>
      <c r="E230" s="10"/>
      <c r="F230" s="9"/>
      <c r="G230" s="22"/>
      <c r="I230" s="9"/>
      <c r="J230" s="9"/>
    </row>
    <row r="231" ht="15.75" customHeight="1" spans="5:7">
      <c r="E231" s="33"/>
      <c r="G231" s="34"/>
    </row>
    <row r="232" ht="15.75" customHeight="1" spans="5:7">
      <c r="E232" s="33"/>
      <c r="G232" s="34"/>
    </row>
    <row r="233" ht="15.75" customHeight="1" spans="5:7">
      <c r="E233" s="33"/>
      <c r="G233" s="34"/>
    </row>
    <row r="234" ht="15.75" customHeight="1" spans="5:7">
      <c r="E234" s="33"/>
      <c r="G234" s="34"/>
    </row>
    <row r="235" ht="15.75" customHeight="1" spans="5:7">
      <c r="E235" s="33"/>
      <c r="G235" s="34"/>
    </row>
    <row r="236" ht="15.75" customHeight="1" spans="5:7">
      <c r="E236" s="33"/>
      <c r="G236" s="34"/>
    </row>
    <row r="237" ht="15.75" customHeight="1" spans="5:7">
      <c r="E237" s="33"/>
      <c r="G237" s="34"/>
    </row>
    <row r="238" ht="15.75" customHeight="1" spans="5:7">
      <c r="E238" s="33"/>
      <c r="G238" s="34"/>
    </row>
    <row r="239" ht="15.75" customHeight="1" spans="5:7">
      <c r="E239" s="33"/>
      <c r="G239" s="34"/>
    </row>
    <row r="240" ht="15.75" customHeight="1" spans="5:7">
      <c r="E240" s="33"/>
      <c r="G240" s="34"/>
    </row>
    <row r="241" ht="15.75" customHeight="1" spans="5:7">
      <c r="E241" s="33"/>
      <c r="G241" s="34"/>
    </row>
    <row r="242" ht="15.75" customHeight="1" spans="5:7">
      <c r="E242" s="33"/>
      <c r="G242" s="34"/>
    </row>
    <row r="243" ht="15.75" customHeight="1" spans="5:7">
      <c r="E243" s="33"/>
      <c r="G243" s="34"/>
    </row>
    <row r="244" ht="15.75" customHeight="1" spans="5:7">
      <c r="E244" s="33"/>
      <c r="G244" s="34"/>
    </row>
    <row r="245" ht="15.75" customHeight="1" spans="5:7">
      <c r="E245" s="33"/>
      <c r="G245" s="34"/>
    </row>
    <row r="246" ht="15.75" customHeight="1" spans="5:7">
      <c r="E246" s="33"/>
      <c r="G246" s="34"/>
    </row>
    <row r="247" ht="15.75" customHeight="1" spans="5:7">
      <c r="E247" s="33"/>
      <c r="G247" s="34"/>
    </row>
    <row r="248" ht="15.75" customHeight="1" spans="5:7">
      <c r="E248" s="33"/>
      <c r="G248" s="34"/>
    </row>
    <row r="249" ht="15.75" customHeight="1" spans="5:7">
      <c r="E249" s="33"/>
      <c r="G249" s="34"/>
    </row>
    <row r="250" ht="15.75" customHeight="1" spans="5:7">
      <c r="E250" s="33"/>
      <c r="G250" s="34"/>
    </row>
    <row r="251" ht="15.75" customHeight="1" spans="5:7">
      <c r="E251" s="33"/>
      <c r="G251" s="34"/>
    </row>
    <row r="252" ht="15.75" customHeight="1" spans="5:7">
      <c r="E252" s="33"/>
      <c r="G252" s="34"/>
    </row>
    <row r="253" ht="15.75" customHeight="1" spans="5:7">
      <c r="E253" s="33"/>
      <c r="G253" s="34"/>
    </row>
    <row r="254" ht="15.75" customHeight="1" spans="5:7">
      <c r="E254" s="33"/>
      <c r="G254" s="34"/>
    </row>
    <row r="255" ht="15.75" customHeight="1" spans="5:7">
      <c r="E255" s="33"/>
      <c r="G255" s="34"/>
    </row>
    <row r="256" ht="15.75" customHeight="1" spans="5:7">
      <c r="E256" s="33"/>
      <c r="G256" s="34"/>
    </row>
    <row r="257" ht="15.75" customHeight="1" spans="5:7">
      <c r="E257" s="33"/>
      <c r="G257" s="34"/>
    </row>
    <row r="258" ht="15.75" customHeight="1" spans="5:7">
      <c r="E258" s="33"/>
      <c r="G258" s="34"/>
    </row>
    <row r="259" ht="15.75" customHeight="1" spans="5:7">
      <c r="E259" s="33"/>
      <c r="G259" s="34"/>
    </row>
    <row r="260" ht="15.75" customHeight="1" spans="5:7">
      <c r="E260" s="33"/>
      <c r="G260" s="34"/>
    </row>
    <row r="261" ht="15.75" customHeight="1" spans="5:7">
      <c r="E261" s="33"/>
      <c r="G261" s="34"/>
    </row>
    <row r="262" ht="15.75" customHeight="1" spans="5:7">
      <c r="E262" s="33"/>
      <c r="G262" s="34"/>
    </row>
    <row r="263" ht="15.75" customHeight="1" spans="5:7">
      <c r="E263" s="33"/>
      <c r="G263" s="34"/>
    </row>
    <row r="264" ht="15.75" customHeight="1" spans="5:7">
      <c r="E264" s="33"/>
      <c r="G264" s="34"/>
    </row>
    <row r="265" ht="15.75" customHeight="1" spans="5:7">
      <c r="E265" s="33"/>
      <c r="G265" s="34"/>
    </row>
    <row r="266" ht="15.75" customHeight="1" spans="5:7">
      <c r="E266" s="33"/>
      <c r="G266" s="34"/>
    </row>
    <row r="267" ht="15.75" customHeight="1" spans="5:7">
      <c r="E267" s="33"/>
      <c r="G267" s="34"/>
    </row>
    <row r="268" ht="15.75" customHeight="1" spans="5:7">
      <c r="E268" s="33"/>
      <c r="G268" s="34"/>
    </row>
    <row r="269" ht="15.75" customHeight="1" spans="5:7">
      <c r="E269" s="33"/>
      <c r="G269" s="34"/>
    </row>
    <row r="270" ht="15.75" customHeight="1" spans="5:7">
      <c r="E270" s="33"/>
      <c r="G270" s="34"/>
    </row>
    <row r="271" ht="15.75" customHeight="1" spans="5:7">
      <c r="E271" s="33"/>
      <c r="G271" s="34"/>
    </row>
    <row r="272" ht="15.75" customHeight="1" spans="5:7">
      <c r="E272" s="33"/>
      <c r="G272" s="34"/>
    </row>
    <row r="273" ht="15.75" customHeight="1" spans="5:7">
      <c r="E273" s="33"/>
      <c r="G273" s="34"/>
    </row>
    <row r="274" ht="15.75" customHeight="1" spans="5:7">
      <c r="E274" s="33"/>
      <c r="G274" s="34"/>
    </row>
    <row r="275" ht="15.75" customHeight="1" spans="5:7">
      <c r="E275" s="33"/>
      <c r="G275" s="34"/>
    </row>
    <row r="276" ht="15.75" customHeight="1" spans="5:7">
      <c r="E276" s="33"/>
      <c r="G276" s="34"/>
    </row>
    <row r="277" ht="15.75" customHeight="1" spans="5:7">
      <c r="E277" s="33"/>
      <c r="G277" s="34"/>
    </row>
    <row r="278" ht="15.75" customHeight="1" spans="5:7">
      <c r="E278" s="33"/>
      <c r="G278" s="34"/>
    </row>
    <row r="279" ht="15.75" customHeight="1" spans="5:7">
      <c r="E279" s="33"/>
      <c r="G279" s="34"/>
    </row>
    <row r="280" ht="15.75" customHeight="1" spans="5:7">
      <c r="E280" s="33"/>
      <c r="G280" s="34"/>
    </row>
    <row r="281" ht="15.75" customHeight="1" spans="5:7">
      <c r="E281" s="33"/>
      <c r="G281" s="34"/>
    </row>
    <row r="282" ht="15.75" customHeight="1" spans="5:7">
      <c r="E282" s="33"/>
      <c r="G282" s="34"/>
    </row>
    <row r="283" ht="15.75" customHeight="1" spans="5:7">
      <c r="E283" s="33"/>
      <c r="G283" s="34"/>
    </row>
    <row r="284" ht="15.75" customHeight="1" spans="5:7">
      <c r="E284" s="33"/>
      <c r="G284" s="34"/>
    </row>
    <row r="285" ht="15.75" customHeight="1" spans="5:7">
      <c r="E285" s="33"/>
      <c r="G285" s="34"/>
    </row>
    <row r="286" ht="15.75" customHeight="1" spans="5:7">
      <c r="E286" s="33"/>
      <c r="G286" s="34"/>
    </row>
    <row r="287" ht="15.75" customHeight="1" spans="5:7">
      <c r="E287" s="33"/>
      <c r="G287" s="34"/>
    </row>
    <row r="288" ht="15.75" customHeight="1" spans="5:7">
      <c r="E288" s="33"/>
      <c r="G288" s="34"/>
    </row>
    <row r="289" ht="15.75" customHeight="1" spans="5:7">
      <c r="E289" s="33"/>
      <c r="G289" s="34"/>
    </row>
    <row r="290" ht="15.75" customHeight="1" spans="5:7">
      <c r="E290" s="33"/>
      <c r="G290" s="34"/>
    </row>
    <row r="291" ht="15.75" customHeight="1" spans="5:7">
      <c r="E291" s="33"/>
      <c r="G291" s="34"/>
    </row>
    <row r="292" ht="15.75" customHeight="1" spans="5:7">
      <c r="E292" s="33"/>
      <c r="G292" s="34"/>
    </row>
    <row r="293" ht="15.75" customHeight="1" spans="5:7">
      <c r="E293" s="33"/>
      <c r="G293" s="34"/>
    </row>
    <row r="294" ht="15.75" customHeight="1" spans="5:7">
      <c r="E294" s="33"/>
      <c r="G294" s="34"/>
    </row>
    <row r="295" ht="15.75" customHeight="1" spans="5:7">
      <c r="E295" s="33"/>
      <c r="G295" s="34"/>
    </row>
    <row r="296" ht="15.75" customHeight="1" spans="5:7">
      <c r="E296" s="33"/>
      <c r="G296" s="34"/>
    </row>
    <row r="297" ht="15.75" customHeight="1" spans="5:7">
      <c r="E297" s="33"/>
      <c r="G297" s="34"/>
    </row>
    <row r="298" ht="15.75" customHeight="1" spans="5:7">
      <c r="E298" s="33"/>
      <c r="G298" s="34"/>
    </row>
    <row r="299" ht="15.75" customHeight="1" spans="5:7">
      <c r="E299" s="33"/>
      <c r="G299" s="34"/>
    </row>
    <row r="300" ht="15.75" customHeight="1" spans="5:7">
      <c r="E300" s="33"/>
      <c r="G300" s="34"/>
    </row>
    <row r="301" ht="15.75" customHeight="1" spans="5:7">
      <c r="E301" s="33"/>
      <c r="G301" s="34"/>
    </row>
    <row r="302" ht="15.75" customHeight="1" spans="5:7">
      <c r="E302" s="33"/>
      <c r="G302" s="34"/>
    </row>
    <row r="303" ht="15.75" customHeight="1" spans="5:7">
      <c r="E303" s="33"/>
      <c r="G303" s="34"/>
    </row>
    <row r="304" ht="15.75" customHeight="1" spans="5:7">
      <c r="E304" s="33"/>
      <c r="G304" s="34"/>
    </row>
    <row r="305" ht="15.75" customHeight="1" spans="5:7">
      <c r="E305" s="33"/>
      <c r="G305" s="34"/>
    </row>
    <row r="306" ht="15.75" customHeight="1" spans="5:7">
      <c r="E306" s="33"/>
      <c r="G306" s="34"/>
    </row>
    <row r="307" ht="15.75" customHeight="1" spans="5:7">
      <c r="E307" s="33"/>
      <c r="G307" s="34"/>
    </row>
    <row r="308" ht="15.75" customHeight="1" spans="5:7">
      <c r="E308" s="33"/>
      <c r="G308" s="34"/>
    </row>
    <row r="309" ht="15.75" customHeight="1" spans="5:7">
      <c r="E309" s="33"/>
      <c r="G309" s="34"/>
    </row>
    <row r="310" ht="15.75" customHeight="1" spans="5:7">
      <c r="E310" s="33"/>
      <c r="G310" s="34"/>
    </row>
    <row r="311" ht="15.75" customHeight="1" spans="5:7">
      <c r="E311" s="33"/>
      <c r="G311" s="34"/>
    </row>
    <row r="312" ht="15.75" customHeight="1" spans="5:7">
      <c r="E312" s="33"/>
      <c r="G312" s="34"/>
    </row>
    <row r="313" ht="15.75" customHeight="1" spans="5:7">
      <c r="E313" s="33"/>
      <c r="G313" s="34"/>
    </row>
    <row r="314" ht="15.75" customHeight="1" spans="5:7">
      <c r="E314" s="33"/>
      <c r="G314" s="34"/>
    </row>
    <row r="315" ht="15.75" customHeight="1" spans="5:7">
      <c r="E315" s="33"/>
      <c r="G315" s="34"/>
    </row>
    <row r="316" ht="15.75" customHeight="1" spans="5:7">
      <c r="E316" s="33"/>
      <c r="G316" s="34"/>
    </row>
    <row r="317" ht="15.75" customHeight="1" spans="5:7">
      <c r="E317" s="33"/>
      <c r="G317" s="34"/>
    </row>
    <row r="318" ht="15.75" customHeight="1" spans="5:7">
      <c r="E318" s="33"/>
      <c r="G318" s="34"/>
    </row>
    <row r="319" ht="15.75" customHeight="1" spans="5:7">
      <c r="E319" s="33"/>
      <c r="G319" s="34"/>
    </row>
    <row r="320" ht="15.75" customHeight="1" spans="5:7">
      <c r="E320" s="33"/>
      <c r="G320" s="34"/>
    </row>
    <row r="321" ht="15.75" customHeight="1" spans="5:7">
      <c r="E321" s="33"/>
      <c r="G321" s="34"/>
    </row>
    <row r="322" ht="15.75" customHeight="1" spans="5:7">
      <c r="E322" s="33"/>
      <c r="G322" s="34"/>
    </row>
    <row r="323" ht="15.75" customHeight="1" spans="5:7">
      <c r="E323" s="33"/>
      <c r="G323" s="34"/>
    </row>
    <row r="324" ht="15.75" customHeight="1" spans="5:7">
      <c r="E324" s="33"/>
      <c r="G324" s="34"/>
    </row>
    <row r="325" ht="15.75" customHeight="1" spans="5:7">
      <c r="E325" s="33"/>
      <c r="G325" s="34"/>
    </row>
    <row r="326" ht="15.75" customHeight="1" spans="5:7">
      <c r="E326" s="33"/>
      <c r="G326" s="34"/>
    </row>
    <row r="327" ht="15.75" customHeight="1" spans="5:7">
      <c r="E327" s="33"/>
      <c r="G327" s="34"/>
    </row>
    <row r="328" ht="15.75" customHeight="1" spans="5:7">
      <c r="E328" s="33"/>
      <c r="G328" s="34"/>
    </row>
    <row r="329" ht="15.75" customHeight="1" spans="5:7">
      <c r="E329" s="33"/>
      <c r="G329" s="34"/>
    </row>
    <row r="330" ht="15.75" customHeight="1" spans="5:7">
      <c r="E330" s="33"/>
      <c r="G330" s="34"/>
    </row>
    <row r="331" ht="15.75" customHeight="1" spans="5:7">
      <c r="E331" s="33"/>
      <c r="G331" s="34"/>
    </row>
    <row r="332" ht="15.75" customHeight="1" spans="5:7">
      <c r="E332" s="33"/>
      <c r="G332" s="34"/>
    </row>
    <row r="333" ht="15.75" customHeight="1" spans="5:7">
      <c r="E333" s="33"/>
      <c r="G333" s="34"/>
    </row>
    <row r="334" ht="15.75" customHeight="1" spans="5:7">
      <c r="E334" s="33"/>
      <c r="G334" s="34"/>
    </row>
    <row r="335" ht="15.75" customHeight="1" spans="5:7">
      <c r="E335" s="33"/>
      <c r="G335" s="34"/>
    </row>
    <row r="336" ht="15.75" customHeight="1" spans="5:7">
      <c r="E336" s="33"/>
      <c r="G336" s="34"/>
    </row>
    <row r="337" ht="15.75" customHeight="1" spans="5:7">
      <c r="E337" s="33"/>
      <c r="G337" s="34"/>
    </row>
    <row r="338" ht="15.75" customHeight="1" spans="5:7">
      <c r="E338" s="33"/>
      <c r="G338" s="34"/>
    </row>
    <row r="339" ht="15.75" customHeight="1" spans="5:7">
      <c r="E339" s="33"/>
      <c r="G339" s="34"/>
    </row>
    <row r="340" ht="15.75" customHeight="1" spans="5:7">
      <c r="E340" s="33"/>
      <c r="G340" s="34"/>
    </row>
    <row r="341" ht="15.75" customHeight="1" spans="5:7">
      <c r="E341" s="33"/>
      <c r="G341" s="34"/>
    </row>
    <row r="342" ht="15.75" customHeight="1" spans="5:7">
      <c r="E342" s="33"/>
      <c r="G342" s="34"/>
    </row>
    <row r="343" ht="15.75" customHeight="1" spans="5:7">
      <c r="E343" s="33"/>
      <c r="G343" s="34"/>
    </row>
    <row r="344" ht="15.75" customHeight="1" spans="5:7">
      <c r="E344" s="33"/>
      <c r="G344" s="34"/>
    </row>
    <row r="345" ht="15.75" customHeight="1" spans="5:7">
      <c r="E345" s="33"/>
      <c r="G345" s="34"/>
    </row>
    <row r="346" ht="15.75" customHeight="1" spans="5:7">
      <c r="E346" s="33"/>
      <c r="G346" s="34"/>
    </row>
    <row r="347" ht="15.75" customHeight="1" spans="5:7">
      <c r="E347" s="33"/>
      <c r="G347" s="34"/>
    </row>
    <row r="348" ht="15.75" customHeight="1" spans="5:7">
      <c r="E348" s="33"/>
      <c r="G348" s="34"/>
    </row>
    <row r="349" ht="15.75" customHeight="1" spans="5:7">
      <c r="E349" s="33"/>
      <c r="G349" s="34"/>
    </row>
    <row r="350" ht="15.75" customHeight="1" spans="5:7">
      <c r="E350" s="33"/>
      <c r="G350" s="34"/>
    </row>
    <row r="351" ht="15.75" customHeight="1" spans="5:7">
      <c r="E351" s="33"/>
      <c r="G351" s="34"/>
    </row>
    <row r="352" ht="15.75" customHeight="1" spans="5:7">
      <c r="E352" s="33"/>
      <c r="G352" s="34"/>
    </row>
    <row r="353" ht="15.75" customHeight="1" spans="5:7">
      <c r="E353" s="33"/>
      <c r="G353" s="34"/>
    </row>
    <row r="354" ht="15.75" customHeight="1" spans="5:7">
      <c r="E354" s="33"/>
      <c r="G354" s="34"/>
    </row>
    <row r="355" ht="15.75" customHeight="1" spans="5:7">
      <c r="E355" s="33"/>
      <c r="G355" s="34"/>
    </row>
    <row r="356" ht="15.75" customHeight="1" spans="5:7">
      <c r="E356" s="33"/>
      <c r="G356" s="34"/>
    </row>
    <row r="357" ht="15.75" customHeight="1" spans="5:7">
      <c r="E357" s="33"/>
      <c r="G357" s="34"/>
    </row>
    <row r="358" ht="15.75" customHeight="1" spans="5:7">
      <c r="E358" s="33"/>
      <c r="G358" s="34"/>
    </row>
    <row r="359" ht="15.75" customHeight="1" spans="5:7">
      <c r="E359" s="33"/>
      <c r="G359" s="34"/>
    </row>
    <row r="360" ht="15.75" customHeight="1" spans="5:7">
      <c r="E360" s="33"/>
      <c r="G360" s="34"/>
    </row>
    <row r="361" ht="15.75" customHeight="1" spans="5:7">
      <c r="E361" s="33"/>
      <c r="G361" s="34"/>
    </row>
    <row r="362" ht="15.75" customHeight="1" spans="5:7">
      <c r="E362" s="33"/>
      <c r="G362" s="34"/>
    </row>
    <row r="363" ht="15.75" customHeight="1" spans="5:7">
      <c r="E363" s="33"/>
      <c r="G363" s="34"/>
    </row>
    <row r="364" ht="15.75" customHeight="1" spans="5:7">
      <c r="E364" s="33"/>
      <c r="G364" s="34"/>
    </row>
    <row r="365" ht="15.75" customHeight="1" spans="5:7">
      <c r="E365" s="33"/>
      <c r="G365" s="34"/>
    </row>
    <row r="366" ht="15.75" customHeight="1" spans="5:7">
      <c r="E366" s="33"/>
      <c r="G366" s="34"/>
    </row>
    <row r="367" ht="15.75" customHeight="1" spans="5:7">
      <c r="E367" s="33"/>
      <c r="G367" s="34"/>
    </row>
    <row r="368" ht="15.75" customHeight="1" spans="5:7">
      <c r="E368" s="33"/>
      <c r="G368" s="34"/>
    </row>
    <row r="369" ht="15.75" customHeight="1" spans="5:7">
      <c r="E369" s="33"/>
      <c r="G369" s="34"/>
    </row>
    <row r="370" ht="15.75" customHeight="1" spans="5:7">
      <c r="E370" s="33"/>
      <c r="G370" s="34"/>
    </row>
    <row r="371" ht="15.75" customHeight="1" spans="5:7">
      <c r="E371" s="33"/>
      <c r="G371" s="34"/>
    </row>
    <row r="372" ht="15.75" customHeight="1" spans="5:7">
      <c r="E372" s="33"/>
      <c r="G372" s="34"/>
    </row>
    <row r="373" ht="15.75" customHeight="1" spans="5:7">
      <c r="E373" s="33"/>
      <c r="G373" s="34"/>
    </row>
    <row r="374" ht="15.75" customHeight="1" spans="5:7">
      <c r="E374" s="33"/>
      <c r="G374" s="34"/>
    </row>
    <row r="375" ht="15.75" customHeight="1" spans="5:7">
      <c r="E375" s="33"/>
      <c r="G375" s="34"/>
    </row>
    <row r="376" ht="15.75" customHeight="1" spans="5:7">
      <c r="E376" s="33"/>
      <c r="G376" s="34"/>
    </row>
    <row r="377" ht="15.75" customHeight="1" spans="5:7">
      <c r="E377" s="33"/>
      <c r="G377" s="34"/>
    </row>
    <row r="378" ht="15.75" customHeight="1" spans="5:7">
      <c r="E378" s="33"/>
      <c r="G378" s="34"/>
    </row>
    <row r="379" ht="15.75" customHeight="1" spans="5:7">
      <c r="E379" s="33"/>
      <c r="G379" s="34"/>
    </row>
    <row r="380" ht="15.75" customHeight="1" spans="5:7">
      <c r="E380" s="33"/>
      <c r="G380" s="34"/>
    </row>
    <row r="381" ht="15.75" customHeight="1" spans="5:7">
      <c r="E381" s="33"/>
      <c r="G381" s="34"/>
    </row>
    <row r="382" ht="15.75" customHeight="1" spans="5:7">
      <c r="E382" s="33"/>
      <c r="G382" s="34"/>
    </row>
    <row r="383" ht="15.75" customHeight="1" spans="5:7">
      <c r="E383" s="33"/>
      <c r="G383" s="34"/>
    </row>
    <row r="384" ht="15.75" customHeight="1" spans="5:7">
      <c r="E384" s="33"/>
      <c r="G384" s="34"/>
    </row>
    <row r="385" ht="15.75" customHeight="1" spans="5:7">
      <c r="E385" s="33"/>
      <c r="G385" s="34"/>
    </row>
    <row r="386" ht="15.75" customHeight="1" spans="5:7">
      <c r="E386" s="33"/>
      <c r="G386" s="34"/>
    </row>
    <row r="387" ht="15.75" customHeight="1" spans="5:7">
      <c r="E387" s="33"/>
      <c r="G387" s="34"/>
    </row>
    <row r="388" ht="15.75" customHeight="1" spans="5:7">
      <c r="E388" s="33"/>
      <c r="G388" s="34"/>
    </row>
    <row r="389" ht="15.75" customHeight="1" spans="5:7">
      <c r="E389" s="33"/>
      <c r="G389" s="34"/>
    </row>
    <row r="390" ht="15.75" customHeight="1" spans="5:7">
      <c r="E390" s="33"/>
      <c r="G390" s="34"/>
    </row>
    <row r="391" ht="15.75" customHeight="1" spans="5:7">
      <c r="E391" s="33"/>
      <c r="G391" s="34"/>
    </row>
    <row r="392" ht="15.75" customHeight="1" spans="5:7">
      <c r="E392" s="33"/>
      <c r="G392" s="34"/>
    </row>
    <row r="393" ht="15.75" customHeight="1" spans="5:7">
      <c r="E393" s="33"/>
      <c r="G393" s="34"/>
    </row>
    <row r="394" ht="15.75" customHeight="1" spans="5:7">
      <c r="E394" s="33"/>
      <c r="G394" s="34"/>
    </row>
    <row r="395" ht="15.75" customHeight="1" spans="5:7">
      <c r="E395" s="33"/>
      <c r="G395" s="34"/>
    </row>
    <row r="396" ht="15.75" customHeight="1" spans="5:7">
      <c r="E396" s="33"/>
      <c r="G396" s="34"/>
    </row>
    <row r="397" ht="15.75" customHeight="1" spans="5:7">
      <c r="E397" s="33"/>
      <c r="G397" s="34"/>
    </row>
    <row r="398" ht="15.75" customHeight="1" spans="5:7">
      <c r="E398" s="33"/>
      <c r="G398" s="34"/>
    </row>
    <row r="399" ht="15.75" customHeight="1" spans="5:7">
      <c r="E399" s="33"/>
      <c r="G399" s="34"/>
    </row>
    <row r="400" ht="15.75" customHeight="1" spans="5:7">
      <c r="E400" s="33"/>
      <c r="G400" s="34"/>
    </row>
    <row r="401" ht="15.75" customHeight="1" spans="5:7">
      <c r="E401" s="33"/>
      <c r="G401" s="34"/>
    </row>
    <row r="402" ht="15.75" customHeight="1" spans="5:7">
      <c r="E402" s="33"/>
      <c r="G402" s="34"/>
    </row>
    <row r="403" ht="15.75" customHeight="1" spans="5:7">
      <c r="E403" s="33"/>
      <c r="G403" s="34"/>
    </row>
    <row r="404" ht="15.75" customHeight="1" spans="5:7">
      <c r="E404" s="33"/>
      <c r="G404" s="34"/>
    </row>
    <row r="405" ht="15.75" customHeight="1" spans="5:7">
      <c r="E405" s="33"/>
      <c r="G405" s="34"/>
    </row>
    <row r="406" ht="15.75" customHeight="1" spans="5:7">
      <c r="E406" s="33"/>
      <c r="G406" s="34"/>
    </row>
    <row r="407" ht="15.75" customHeight="1" spans="5:7">
      <c r="E407" s="33"/>
      <c r="G407" s="34"/>
    </row>
    <row r="408" ht="15.75" customHeight="1" spans="5:7">
      <c r="E408" s="33"/>
      <c r="G408" s="34"/>
    </row>
    <row r="409" ht="15.75" customHeight="1" spans="5:7">
      <c r="E409" s="33"/>
      <c r="G409" s="34"/>
    </row>
    <row r="410" ht="15.75" customHeight="1" spans="5:7">
      <c r="E410" s="33"/>
      <c r="G410" s="34"/>
    </row>
    <row r="411" ht="15.75" customHeight="1" spans="5:7">
      <c r="E411" s="33"/>
      <c r="G411" s="34"/>
    </row>
    <row r="412" ht="15.75" customHeight="1" spans="5:7">
      <c r="E412" s="33"/>
      <c r="G412" s="34"/>
    </row>
    <row r="413" ht="15.75" customHeight="1" spans="5:7">
      <c r="E413" s="33"/>
      <c r="G413" s="34"/>
    </row>
    <row r="414" ht="15.75" customHeight="1" spans="5:7">
      <c r="E414" s="33"/>
      <c r="G414" s="34"/>
    </row>
    <row r="415" ht="15.75" customHeight="1" spans="5:7">
      <c r="E415" s="33"/>
      <c r="G415" s="34"/>
    </row>
    <row r="416" ht="15.75" customHeight="1" spans="5:7">
      <c r="E416" s="33"/>
      <c r="G416" s="34"/>
    </row>
    <row r="417" ht="15.75" customHeight="1" spans="5:7">
      <c r="E417" s="33"/>
      <c r="G417" s="34"/>
    </row>
    <row r="418" ht="15.75" customHeight="1" spans="5:7">
      <c r="E418" s="33"/>
      <c r="G418" s="34"/>
    </row>
    <row r="419" ht="15.75" customHeight="1" spans="5:7">
      <c r="E419" s="33"/>
      <c r="G419" s="34"/>
    </row>
    <row r="420" ht="15.75" customHeight="1" spans="5:7">
      <c r="E420" s="33"/>
      <c r="G420" s="34"/>
    </row>
    <row r="421" ht="15.75" customHeight="1" spans="5:7">
      <c r="E421" s="33"/>
      <c r="G421" s="34"/>
    </row>
    <row r="422" ht="15.75" customHeight="1" spans="5:7">
      <c r="E422" s="33"/>
      <c r="G422" s="34"/>
    </row>
    <row r="423" ht="15.75" customHeight="1" spans="5:7">
      <c r="E423" s="33"/>
      <c r="G423" s="34"/>
    </row>
    <row r="424" ht="15.75" customHeight="1" spans="5:7">
      <c r="E424" s="33"/>
      <c r="G424" s="34"/>
    </row>
    <row r="425" ht="15.75" customHeight="1" spans="5:7">
      <c r="E425" s="33"/>
      <c r="G425" s="34"/>
    </row>
    <row r="426" ht="15.75" customHeight="1" spans="5:7">
      <c r="E426" s="33"/>
      <c r="G426" s="34"/>
    </row>
    <row r="427" ht="15.75" customHeight="1" spans="5:7">
      <c r="E427" s="33"/>
      <c r="G427" s="34"/>
    </row>
    <row r="428" ht="15.75" customHeight="1" spans="5:7">
      <c r="E428" s="33"/>
      <c r="G428" s="34"/>
    </row>
    <row r="429" ht="15.75" customHeight="1" spans="5:7">
      <c r="E429" s="33"/>
      <c r="G429" s="34"/>
    </row>
    <row r="430" ht="15.75" customHeight="1" spans="5:7">
      <c r="E430" s="33"/>
      <c r="G430" s="34"/>
    </row>
    <row r="431" ht="15.75" customHeight="1" spans="5:7">
      <c r="E431" s="33"/>
      <c r="G431" s="34"/>
    </row>
    <row r="432" ht="15.75" customHeight="1" spans="5:7">
      <c r="E432" s="33"/>
      <c r="G432" s="34"/>
    </row>
    <row r="433" ht="15.75" customHeight="1" spans="5:7">
      <c r="E433" s="33"/>
      <c r="G433" s="34"/>
    </row>
    <row r="434" ht="15.75" customHeight="1" spans="5:7">
      <c r="E434" s="33"/>
      <c r="G434" s="34"/>
    </row>
    <row r="435" ht="15.75" customHeight="1" spans="5:7">
      <c r="E435" s="33"/>
      <c r="G435" s="34"/>
    </row>
    <row r="436" ht="15.75" customHeight="1" spans="5:7">
      <c r="E436" s="33"/>
      <c r="G436" s="34"/>
    </row>
    <row r="437" ht="15.75" customHeight="1" spans="5:7">
      <c r="E437" s="33"/>
      <c r="G437" s="34"/>
    </row>
    <row r="438" ht="15.75" customHeight="1" spans="5:7">
      <c r="E438" s="33"/>
      <c r="G438" s="34"/>
    </row>
    <row r="439" ht="15.75" customHeight="1" spans="5:7">
      <c r="E439" s="33"/>
      <c r="G439" s="34"/>
    </row>
    <row r="440" ht="15.75" customHeight="1" spans="5:7">
      <c r="E440" s="33"/>
      <c r="G440" s="34"/>
    </row>
    <row r="441" ht="15.75" customHeight="1" spans="5:7">
      <c r="E441" s="33"/>
      <c r="G441" s="34"/>
    </row>
    <row r="442" ht="15.75" customHeight="1" spans="5:7">
      <c r="E442" s="33"/>
      <c r="G442" s="34"/>
    </row>
    <row r="443" ht="15.75" customHeight="1" spans="5:7">
      <c r="E443" s="33"/>
      <c r="G443" s="34"/>
    </row>
    <row r="444" ht="15.75" customHeight="1" spans="5:7">
      <c r="E444" s="33"/>
      <c r="G444" s="34"/>
    </row>
    <row r="445" ht="15.75" customHeight="1" spans="5:7">
      <c r="E445" s="33"/>
      <c r="G445" s="34"/>
    </row>
    <row r="446" ht="15.75" customHeight="1" spans="5:7">
      <c r="E446" s="33"/>
      <c r="G446" s="34"/>
    </row>
    <row r="447" ht="15.75" customHeight="1" spans="5:7">
      <c r="E447" s="33"/>
      <c r="G447" s="34"/>
    </row>
    <row r="448" ht="15.75" customHeight="1" spans="5:7">
      <c r="E448" s="33"/>
      <c r="G448" s="34"/>
    </row>
    <row r="449" ht="15.75" customHeight="1" spans="5:7">
      <c r="E449" s="33"/>
      <c r="G449" s="34"/>
    </row>
    <row r="450" ht="15.75" customHeight="1" spans="5:7">
      <c r="E450" s="33"/>
      <c r="G450" s="34"/>
    </row>
    <row r="451" ht="15.75" customHeight="1" spans="5:7">
      <c r="E451" s="33"/>
      <c r="G451" s="34"/>
    </row>
    <row r="452" ht="15.75" customHeight="1" spans="5:7">
      <c r="E452" s="33"/>
      <c r="G452" s="34"/>
    </row>
    <row r="453" ht="15.75" customHeight="1" spans="5:7">
      <c r="E453" s="33"/>
      <c r="G453" s="34"/>
    </row>
    <row r="454" ht="15.75" customHeight="1" spans="5:7">
      <c r="E454" s="33"/>
      <c r="G454" s="34"/>
    </row>
    <row r="455" ht="15.75" customHeight="1" spans="5:7">
      <c r="E455" s="33"/>
      <c r="G455" s="34"/>
    </row>
    <row r="456" ht="15.75" customHeight="1" spans="5:7">
      <c r="E456" s="33"/>
      <c r="G456" s="34"/>
    </row>
    <row r="457" ht="15.75" customHeight="1" spans="5:7">
      <c r="E457" s="33"/>
      <c r="G457" s="34"/>
    </row>
    <row r="458" ht="15.75" customHeight="1" spans="5:7">
      <c r="E458" s="33"/>
      <c r="G458" s="34"/>
    </row>
    <row r="459" ht="15.75" customHeight="1" spans="5:7">
      <c r="E459" s="33"/>
      <c r="G459" s="34"/>
    </row>
    <row r="460" ht="15.75" customHeight="1" spans="5:7">
      <c r="E460" s="33"/>
      <c r="G460" s="34"/>
    </row>
    <row r="461" ht="15.75" customHeight="1" spans="5:7">
      <c r="E461" s="33"/>
      <c r="G461" s="34"/>
    </row>
    <row r="462" ht="15.75" customHeight="1" spans="5:7">
      <c r="E462" s="33"/>
      <c r="G462" s="34"/>
    </row>
    <row r="463" ht="15.75" customHeight="1" spans="5:7">
      <c r="E463" s="33"/>
      <c r="G463" s="34"/>
    </row>
    <row r="464" ht="15.75" customHeight="1" spans="5:7">
      <c r="E464" s="33"/>
      <c r="G464" s="34"/>
    </row>
    <row r="465" ht="15.75" customHeight="1" spans="5:7">
      <c r="E465" s="33"/>
      <c r="G465" s="34"/>
    </row>
    <row r="466" ht="15.75" customHeight="1" spans="5:7">
      <c r="E466" s="33"/>
      <c r="G466" s="34"/>
    </row>
    <row r="467" ht="15.75" customHeight="1" spans="5:7">
      <c r="E467" s="33"/>
      <c r="G467" s="34"/>
    </row>
    <row r="468" ht="15.75" customHeight="1" spans="5:7">
      <c r="E468" s="33"/>
      <c r="G468" s="34"/>
    </row>
    <row r="469" ht="15.75" customHeight="1" spans="5:7">
      <c r="E469" s="33"/>
      <c r="G469" s="34"/>
    </row>
    <row r="470" ht="15.75" customHeight="1" spans="5:7">
      <c r="E470" s="33"/>
      <c r="G470" s="34"/>
    </row>
    <row r="471" ht="15.75" customHeight="1" spans="5:7">
      <c r="E471" s="33"/>
      <c r="G471" s="34"/>
    </row>
    <row r="472" ht="15.75" customHeight="1" spans="5:7">
      <c r="E472" s="33"/>
      <c r="G472" s="34"/>
    </row>
    <row r="473" ht="15.75" customHeight="1" spans="5:7">
      <c r="E473" s="33"/>
      <c r="G473" s="34"/>
    </row>
    <row r="474" ht="15.75" customHeight="1" spans="5:7">
      <c r="E474" s="33"/>
      <c r="G474" s="34"/>
    </row>
    <row r="475" ht="15.75" customHeight="1" spans="5:7">
      <c r="E475" s="33"/>
      <c r="G475" s="34"/>
    </row>
    <row r="476" ht="15.75" customHeight="1" spans="5:7">
      <c r="E476" s="33"/>
      <c r="G476" s="34"/>
    </row>
    <row r="477" ht="15.75" customHeight="1" spans="5:7">
      <c r="E477" s="33"/>
      <c r="G477" s="34"/>
    </row>
    <row r="478" ht="15.75" customHeight="1" spans="5:7">
      <c r="E478" s="33"/>
      <c r="G478" s="34"/>
    </row>
    <row r="479" ht="15.75" customHeight="1" spans="5:7">
      <c r="E479" s="33"/>
      <c r="G479" s="34"/>
    </row>
    <row r="480" ht="15.75" customHeight="1" spans="5:7">
      <c r="E480" s="33"/>
      <c r="G480" s="34"/>
    </row>
    <row r="481" ht="15.75" customHeight="1" spans="5:7">
      <c r="E481" s="33"/>
      <c r="G481" s="34"/>
    </row>
    <row r="482" ht="15.75" customHeight="1" spans="5:7">
      <c r="E482" s="33"/>
      <c r="G482" s="34"/>
    </row>
    <row r="483" ht="15.75" customHeight="1" spans="5:7">
      <c r="E483" s="33"/>
      <c r="G483" s="34"/>
    </row>
    <row r="484" ht="15.75" customHeight="1" spans="5:7">
      <c r="E484" s="33"/>
      <c r="G484" s="34"/>
    </row>
    <row r="485" ht="15.75" customHeight="1" spans="5:7">
      <c r="E485" s="33"/>
      <c r="G485" s="34"/>
    </row>
    <row r="486" ht="15.75" customHeight="1" spans="5:7">
      <c r="E486" s="33"/>
      <c r="G486" s="34"/>
    </row>
    <row r="487" ht="15.75" customHeight="1" spans="5:7">
      <c r="E487" s="33"/>
      <c r="G487" s="34"/>
    </row>
    <row r="488" ht="15.75" customHeight="1" spans="5:7">
      <c r="E488" s="33"/>
      <c r="G488" s="34"/>
    </row>
    <row r="489" ht="15.75" customHeight="1" spans="5:7">
      <c r="E489" s="33"/>
      <c r="G489" s="34"/>
    </row>
    <row r="490" ht="15.75" customHeight="1" spans="5:7">
      <c r="E490" s="33"/>
      <c r="G490" s="34"/>
    </row>
    <row r="491" ht="15.75" customHeight="1" spans="5:7">
      <c r="E491" s="33"/>
      <c r="G491" s="34"/>
    </row>
    <row r="492" ht="15.75" customHeight="1" spans="5:7">
      <c r="E492" s="33"/>
      <c r="G492" s="34"/>
    </row>
    <row r="493" ht="15.75" customHeight="1" spans="5:7">
      <c r="E493" s="33"/>
      <c r="G493" s="34"/>
    </row>
    <row r="494" ht="15.75" customHeight="1" spans="5:7">
      <c r="E494" s="33"/>
      <c r="G494" s="34"/>
    </row>
    <row r="495" ht="15.75" customHeight="1" spans="5:7">
      <c r="E495" s="33"/>
      <c r="G495" s="34"/>
    </row>
    <row r="496" ht="15.75" customHeight="1" spans="5:7">
      <c r="E496" s="33"/>
      <c r="G496" s="34"/>
    </row>
    <row r="497" ht="15.75" customHeight="1" spans="5:7">
      <c r="E497" s="33"/>
      <c r="G497" s="34"/>
    </row>
    <row r="498" ht="15.75" customHeight="1" spans="5:7">
      <c r="E498" s="33"/>
      <c r="G498" s="34"/>
    </row>
    <row r="499" ht="15.75" customHeight="1" spans="5:7">
      <c r="E499" s="33"/>
      <c r="G499" s="34"/>
    </row>
    <row r="500" ht="15.75" customHeight="1" spans="5:7">
      <c r="E500" s="33"/>
      <c r="G500" s="34"/>
    </row>
    <row r="501" ht="15.75" customHeight="1" spans="5:7">
      <c r="E501" s="33"/>
      <c r="G501" s="34"/>
    </row>
    <row r="502" ht="15.75" customHeight="1" spans="5:7">
      <c r="E502" s="33"/>
      <c r="G502" s="34"/>
    </row>
    <row r="503" ht="15.75" customHeight="1" spans="5:7">
      <c r="E503" s="33"/>
      <c r="G503" s="34"/>
    </row>
    <row r="504" ht="15.75" customHeight="1" spans="5:7">
      <c r="E504" s="33"/>
      <c r="G504" s="34"/>
    </row>
    <row r="505" ht="15.75" customHeight="1" spans="5:7">
      <c r="E505" s="33"/>
      <c r="G505" s="34"/>
    </row>
    <row r="506" ht="15.75" customHeight="1" spans="5:7">
      <c r="E506" s="33"/>
      <c r="G506" s="34"/>
    </row>
    <row r="507" ht="15.75" customHeight="1" spans="5:7">
      <c r="E507" s="33"/>
      <c r="G507" s="34"/>
    </row>
    <row r="508" ht="15.75" customHeight="1" spans="5:7">
      <c r="E508" s="33"/>
      <c r="G508" s="34"/>
    </row>
    <row r="509" ht="15.75" customHeight="1" spans="5:7">
      <c r="E509" s="33"/>
      <c r="G509" s="34"/>
    </row>
    <row r="510" ht="15.75" customHeight="1" spans="5:7">
      <c r="E510" s="33"/>
      <c r="G510" s="34"/>
    </row>
    <row r="511" ht="15.75" customHeight="1" spans="5:7">
      <c r="E511" s="33"/>
      <c r="G511" s="34"/>
    </row>
    <row r="512" ht="15.75" customHeight="1" spans="5:7">
      <c r="E512" s="33"/>
      <c r="G512" s="34"/>
    </row>
    <row r="513" ht="15.75" customHeight="1" spans="5:7">
      <c r="E513" s="33"/>
      <c r="G513" s="34"/>
    </row>
    <row r="514" ht="15.75" customHeight="1" spans="5:7">
      <c r="E514" s="33"/>
      <c r="G514" s="34"/>
    </row>
    <row r="515" ht="15.75" customHeight="1" spans="5:7">
      <c r="E515" s="33"/>
      <c r="G515" s="34"/>
    </row>
    <row r="516" ht="15.75" customHeight="1" spans="5:7">
      <c r="E516" s="33"/>
      <c r="G516" s="34"/>
    </row>
    <row r="517" ht="15.75" customHeight="1" spans="5:7">
      <c r="E517" s="33"/>
      <c r="G517" s="34"/>
    </row>
    <row r="518" ht="15.75" customHeight="1" spans="5:7">
      <c r="E518" s="33"/>
      <c r="G518" s="34"/>
    </row>
    <row r="519" ht="15.75" customHeight="1" spans="5:7">
      <c r="E519" s="33"/>
      <c r="G519" s="34"/>
    </row>
    <row r="520" ht="15.75" customHeight="1" spans="5:7">
      <c r="E520" s="33"/>
      <c r="G520" s="34"/>
    </row>
    <row r="521" ht="15.75" customHeight="1" spans="5:7">
      <c r="E521" s="33"/>
      <c r="G521" s="34"/>
    </row>
    <row r="522" ht="15.75" customHeight="1" spans="5:7">
      <c r="E522" s="33"/>
      <c r="G522" s="34"/>
    </row>
    <row r="523" ht="15.75" customHeight="1" spans="5:7">
      <c r="E523" s="33"/>
      <c r="G523" s="34"/>
    </row>
    <row r="524" ht="15.75" customHeight="1" spans="5:7">
      <c r="E524" s="33"/>
      <c r="G524" s="34"/>
    </row>
    <row r="525" ht="15.75" customHeight="1" spans="5:7">
      <c r="E525" s="33"/>
      <c r="G525" s="34"/>
    </row>
    <row r="526" ht="15.75" customHeight="1" spans="5:7">
      <c r="E526" s="33"/>
      <c r="G526" s="34"/>
    </row>
    <row r="527" ht="15.75" customHeight="1" spans="5:7">
      <c r="E527" s="33"/>
      <c r="G527" s="34"/>
    </row>
    <row r="528" ht="15.75" customHeight="1" spans="5:7">
      <c r="E528" s="33"/>
      <c r="G528" s="34"/>
    </row>
    <row r="529" ht="15.75" customHeight="1" spans="5:7">
      <c r="E529" s="33"/>
      <c r="G529" s="34"/>
    </row>
    <row r="530" ht="15.75" customHeight="1" spans="5:7">
      <c r="E530" s="33"/>
      <c r="G530" s="34"/>
    </row>
    <row r="531" ht="15.75" customHeight="1" spans="5:7">
      <c r="E531" s="33"/>
      <c r="G531" s="34"/>
    </row>
    <row r="532" ht="15.75" customHeight="1" spans="5:7">
      <c r="E532" s="33"/>
      <c r="G532" s="34"/>
    </row>
    <row r="533" ht="15.75" customHeight="1" spans="5:7">
      <c r="E533" s="33"/>
      <c r="G533" s="34"/>
    </row>
    <row r="534" ht="15.75" customHeight="1" spans="5:7">
      <c r="E534" s="33"/>
      <c r="G534" s="34"/>
    </row>
    <row r="535" ht="15.75" customHeight="1" spans="5:7">
      <c r="E535" s="33"/>
      <c r="G535" s="34"/>
    </row>
    <row r="536" ht="15.75" customHeight="1" spans="5:7">
      <c r="E536" s="33"/>
      <c r="G536" s="34"/>
    </row>
    <row r="537" ht="15.75" customHeight="1" spans="5:7">
      <c r="E537" s="33"/>
      <c r="G537" s="34"/>
    </row>
    <row r="538" ht="15.75" customHeight="1" spans="5:7">
      <c r="E538" s="33"/>
      <c r="G538" s="34"/>
    </row>
    <row r="539" ht="15.75" customHeight="1" spans="5:7">
      <c r="E539" s="33"/>
      <c r="G539" s="34"/>
    </row>
    <row r="540" ht="15.75" customHeight="1" spans="5:7">
      <c r="E540" s="33"/>
      <c r="G540" s="34"/>
    </row>
    <row r="541" ht="15.75" customHeight="1" spans="5:7">
      <c r="E541" s="33"/>
      <c r="G541" s="34"/>
    </row>
    <row r="542" ht="15.75" customHeight="1" spans="5:7">
      <c r="E542" s="33"/>
      <c r="G542" s="34"/>
    </row>
    <row r="543" ht="15.75" customHeight="1" spans="5:7">
      <c r="E543" s="33"/>
      <c r="G543" s="34"/>
    </row>
    <row r="544" ht="15.75" customHeight="1" spans="5:7">
      <c r="E544" s="33"/>
      <c r="G544" s="34"/>
    </row>
    <row r="545" ht="15.75" customHeight="1" spans="5:7">
      <c r="E545" s="33"/>
      <c r="G545" s="34"/>
    </row>
    <row r="546" ht="15.75" customHeight="1" spans="5:7">
      <c r="E546" s="33"/>
      <c r="G546" s="34"/>
    </row>
    <row r="547" ht="15.75" customHeight="1" spans="5:7">
      <c r="E547" s="33"/>
      <c r="G547" s="34"/>
    </row>
    <row r="548" ht="15.75" customHeight="1" spans="5:7">
      <c r="E548" s="33"/>
      <c r="G548" s="34"/>
    </row>
    <row r="549" ht="15.75" customHeight="1" spans="5:7">
      <c r="E549" s="33"/>
      <c r="G549" s="34"/>
    </row>
    <row r="550" ht="15.75" customHeight="1" spans="5:7">
      <c r="E550" s="33"/>
      <c r="G550" s="34"/>
    </row>
    <row r="551" ht="15.75" customHeight="1" spans="5:7">
      <c r="E551" s="33"/>
      <c r="G551" s="34"/>
    </row>
    <row r="552" ht="15.75" customHeight="1" spans="5:7">
      <c r="E552" s="33"/>
      <c r="G552" s="34"/>
    </row>
    <row r="553" ht="15.75" customHeight="1" spans="5:7">
      <c r="E553" s="33"/>
      <c r="G553" s="34"/>
    </row>
    <row r="554" ht="15.75" customHeight="1" spans="5:7">
      <c r="E554" s="33"/>
      <c r="G554" s="34"/>
    </row>
    <row r="555" ht="15.75" customHeight="1" spans="5:7">
      <c r="E555" s="33"/>
      <c r="G555" s="34"/>
    </row>
    <row r="556" ht="15.75" customHeight="1" spans="5:7">
      <c r="E556" s="33"/>
      <c r="G556" s="34"/>
    </row>
    <row r="557" ht="15.75" customHeight="1" spans="5:7">
      <c r="E557" s="33"/>
      <c r="G557" s="34"/>
    </row>
    <row r="558" ht="15.75" customHeight="1" spans="5:7">
      <c r="E558" s="33"/>
      <c r="G558" s="34"/>
    </row>
    <row r="559" ht="15.75" customHeight="1" spans="5:7">
      <c r="E559" s="33"/>
      <c r="G559" s="34"/>
    </row>
    <row r="560" ht="15.75" customHeight="1" spans="5:7">
      <c r="E560" s="33"/>
      <c r="G560" s="34"/>
    </row>
    <row r="561" ht="15.75" customHeight="1" spans="5:7">
      <c r="E561" s="33"/>
      <c r="G561" s="34"/>
    </row>
    <row r="562" ht="15.75" customHeight="1" spans="5:7">
      <c r="E562" s="33"/>
      <c r="G562" s="34"/>
    </row>
    <row r="563" ht="15.75" customHeight="1" spans="5:7">
      <c r="E563" s="33"/>
      <c r="G563" s="34"/>
    </row>
    <row r="564" ht="15.75" customHeight="1" spans="5:7">
      <c r="E564" s="33"/>
      <c r="G564" s="34"/>
    </row>
    <row r="565" ht="15.75" customHeight="1" spans="5:7">
      <c r="E565" s="33"/>
      <c r="G565" s="34"/>
    </row>
    <row r="566" ht="15.75" customHeight="1" spans="5:7">
      <c r="E566" s="33"/>
      <c r="G566" s="34"/>
    </row>
    <row r="567" ht="15.75" customHeight="1" spans="5:7">
      <c r="E567" s="33"/>
      <c r="G567" s="34"/>
    </row>
    <row r="568" ht="15.75" customHeight="1" spans="5:7">
      <c r="E568" s="33"/>
      <c r="G568" s="34"/>
    </row>
    <row r="569" ht="15.75" customHeight="1" spans="5:7">
      <c r="E569" s="33"/>
      <c r="G569" s="34"/>
    </row>
    <row r="570" ht="15.75" customHeight="1" spans="5:7">
      <c r="E570" s="33"/>
      <c r="G570" s="34"/>
    </row>
    <row r="571" ht="15.75" customHeight="1" spans="5:7">
      <c r="E571" s="33"/>
      <c r="G571" s="34"/>
    </row>
    <row r="572" ht="15.75" customHeight="1" spans="5:7">
      <c r="E572" s="33"/>
      <c r="G572" s="34"/>
    </row>
    <row r="573" ht="15.75" customHeight="1" spans="5:7">
      <c r="E573" s="33"/>
      <c r="G573" s="34"/>
    </row>
    <row r="574" ht="15.75" customHeight="1" spans="5:7">
      <c r="E574" s="33"/>
      <c r="G574" s="34"/>
    </row>
    <row r="575" ht="15.75" customHeight="1" spans="5:7">
      <c r="E575" s="33"/>
      <c r="G575" s="34"/>
    </row>
    <row r="576" ht="15.75" customHeight="1" spans="5:7">
      <c r="E576" s="33"/>
      <c r="G576" s="34"/>
    </row>
    <row r="577" ht="15.75" customHeight="1" spans="5:7">
      <c r="E577" s="33"/>
      <c r="G577" s="34"/>
    </row>
    <row r="578" ht="15.75" customHeight="1" spans="5:7">
      <c r="E578" s="33"/>
      <c r="G578" s="34"/>
    </row>
    <row r="579" ht="15.75" customHeight="1" spans="5:7">
      <c r="E579" s="33"/>
      <c r="G579" s="34"/>
    </row>
    <row r="580" ht="15.75" customHeight="1" spans="5:7">
      <c r="E580" s="33"/>
      <c r="G580" s="34"/>
    </row>
    <row r="581" ht="15.75" customHeight="1" spans="5:7">
      <c r="E581" s="33"/>
      <c r="G581" s="34"/>
    </row>
    <row r="582" ht="15.75" customHeight="1" spans="5:7">
      <c r="E582" s="33"/>
      <c r="G582" s="34"/>
    </row>
    <row r="583" ht="15.75" customHeight="1" spans="5:7">
      <c r="E583" s="33"/>
      <c r="G583" s="34"/>
    </row>
    <row r="584" ht="15.75" customHeight="1" spans="5:7">
      <c r="E584" s="33"/>
      <c r="G584" s="34"/>
    </row>
    <row r="585" ht="15.75" customHeight="1" spans="5:7">
      <c r="E585" s="33"/>
      <c r="G585" s="34"/>
    </row>
    <row r="586" ht="15.75" customHeight="1" spans="5:7">
      <c r="E586" s="33"/>
      <c r="G586" s="34"/>
    </row>
    <row r="587" ht="15.75" customHeight="1" spans="5:7">
      <c r="E587" s="33"/>
      <c r="G587" s="34"/>
    </row>
    <row r="588" ht="15.75" customHeight="1" spans="5:7">
      <c r="E588" s="33"/>
      <c r="G588" s="34"/>
    </row>
    <row r="589" ht="15.75" customHeight="1" spans="5:7">
      <c r="E589" s="33"/>
      <c r="G589" s="34"/>
    </row>
    <row r="590" ht="15.75" customHeight="1" spans="5:7">
      <c r="E590" s="33"/>
      <c r="G590" s="34"/>
    </row>
    <row r="591" ht="15.75" customHeight="1" spans="5:7">
      <c r="E591" s="33"/>
      <c r="G591" s="34"/>
    </row>
    <row r="592" ht="15.75" customHeight="1" spans="5:7">
      <c r="E592" s="33"/>
      <c r="G592" s="34"/>
    </row>
    <row r="593" ht="15.75" customHeight="1" spans="5:7">
      <c r="E593" s="33"/>
      <c r="G593" s="34"/>
    </row>
    <row r="594" ht="15.75" customHeight="1" spans="5:7">
      <c r="E594" s="33"/>
      <c r="G594" s="34"/>
    </row>
    <row r="595" ht="15.75" customHeight="1" spans="5:7">
      <c r="E595" s="33"/>
      <c r="G595" s="34"/>
    </row>
    <row r="596" ht="15.75" customHeight="1" spans="5:7">
      <c r="E596" s="33"/>
      <c r="G596" s="34"/>
    </row>
    <row r="597" ht="15.75" customHeight="1" spans="5:7">
      <c r="E597" s="33"/>
      <c r="G597" s="34"/>
    </row>
    <row r="598" ht="15.75" customHeight="1" spans="5:7">
      <c r="E598" s="33"/>
      <c r="G598" s="34"/>
    </row>
    <row r="599" ht="15.75" customHeight="1" spans="5:7">
      <c r="E599" s="33"/>
      <c r="G599" s="34"/>
    </row>
    <row r="600" ht="15.75" customHeight="1" spans="5:7">
      <c r="E600" s="33"/>
      <c r="G600" s="34"/>
    </row>
    <row r="601" ht="15.75" customHeight="1" spans="5:7">
      <c r="E601" s="33"/>
      <c r="G601" s="34"/>
    </row>
    <row r="602" ht="15.75" customHeight="1" spans="5:7">
      <c r="E602" s="33"/>
      <c r="G602" s="34"/>
    </row>
    <row r="603" ht="15.75" customHeight="1" spans="5:7">
      <c r="E603" s="33"/>
      <c r="G603" s="34"/>
    </row>
    <row r="604" ht="15.75" customHeight="1" spans="5:7">
      <c r="E604" s="33"/>
      <c r="G604" s="34"/>
    </row>
    <row r="605" ht="15.75" customHeight="1" spans="5:7">
      <c r="E605" s="33"/>
      <c r="G605" s="34"/>
    </row>
    <row r="606" ht="15.75" customHeight="1" spans="5:7">
      <c r="E606" s="33"/>
      <c r="G606" s="34"/>
    </row>
    <row r="607" ht="15.75" customHeight="1" spans="5:7">
      <c r="E607" s="33"/>
      <c r="G607" s="34"/>
    </row>
    <row r="608" ht="15.75" customHeight="1" spans="5:7">
      <c r="E608" s="33"/>
      <c r="G608" s="34"/>
    </row>
    <row r="609" ht="15.75" customHeight="1" spans="5:7">
      <c r="E609" s="33"/>
      <c r="G609" s="34"/>
    </row>
    <row r="610" ht="15.75" customHeight="1" spans="5:7">
      <c r="E610" s="33"/>
      <c r="G610" s="34"/>
    </row>
    <row r="611" ht="15.75" customHeight="1" spans="5:7">
      <c r="E611" s="33"/>
      <c r="G611" s="34"/>
    </row>
    <row r="612" ht="15.75" customHeight="1" spans="5:7">
      <c r="E612" s="33"/>
      <c r="G612" s="34"/>
    </row>
    <row r="613" ht="15.75" customHeight="1" spans="5:7">
      <c r="E613" s="33"/>
      <c r="G613" s="34"/>
    </row>
    <row r="614" ht="15.75" customHeight="1" spans="5:7">
      <c r="E614" s="33"/>
      <c r="G614" s="34"/>
    </row>
    <row r="615" ht="15.75" customHeight="1" spans="5:7">
      <c r="E615" s="33"/>
      <c r="G615" s="34"/>
    </row>
    <row r="616" ht="15.75" customHeight="1" spans="5:7">
      <c r="E616" s="33"/>
      <c r="G616" s="34"/>
    </row>
    <row r="617" ht="15.75" customHeight="1" spans="5:7">
      <c r="E617" s="33"/>
      <c r="G617" s="34"/>
    </row>
    <row r="618" ht="15.75" customHeight="1" spans="5:7">
      <c r="E618" s="33"/>
      <c r="G618" s="34"/>
    </row>
    <row r="619" ht="15.75" customHeight="1" spans="5:7">
      <c r="E619" s="33"/>
      <c r="G619" s="34"/>
    </row>
    <row r="620" ht="15.75" customHeight="1" spans="5:7">
      <c r="E620" s="33"/>
      <c r="G620" s="34"/>
    </row>
    <row r="621" ht="15.75" customHeight="1" spans="5:7">
      <c r="E621" s="33"/>
      <c r="G621" s="34"/>
    </row>
    <row r="622" ht="15.75" customHeight="1" spans="5:7">
      <c r="E622" s="33"/>
      <c r="G622" s="34"/>
    </row>
    <row r="623" ht="15.75" customHeight="1" spans="5:7">
      <c r="E623" s="33"/>
      <c r="G623" s="34"/>
    </row>
    <row r="624" ht="15.75" customHeight="1" spans="5:7">
      <c r="E624" s="33"/>
      <c r="G624" s="34"/>
    </row>
    <row r="625" ht="15.75" customHeight="1" spans="5:7">
      <c r="E625" s="33"/>
      <c r="G625" s="34"/>
    </row>
    <row r="626" ht="15.75" customHeight="1" spans="5:7">
      <c r="E626" s="33"/>
      <c r="G626" s="34"/>
    </row>
    <row r="627" ht="15.75" customHeight="1" spans="5:7">
      <c r="E627" s="33"/>
      <c r="G627" s="34"/>
    </row>
    <row r="628" ht="15.75" customHeight="1" spans="5:7">
      <c r="E628" s="33"/>
      <c r="G628" s="34"/>
    </row>
    <row r="629" ht="15.75" customHeight="1" spans="5:7">
      <c r="E629" s="33"/>
      <c r="G629" s="34"/>
    </row>
    <row r="630" ht="15.75" customHeight="1" spans="5:7">
      <c r="E630" s="33"/>
      <c r="G630" s="34"/>
    </row>
    <row r="631" ht="15.75" customHeight="1" spans="5:7">
      <c r="E631" s="33"/>
      <c r="G631" s="34"/>
    </row>
    <row r="632" ht="15.75" customHeight="1" spans="5:7">
      <c r="E632" s="33"/>
      <c r="G632" s="34"/>
    </row>
    <row r="633" ht="15.75" customHeight="1" spans="5:7">
      <c r="E633" s="33"/>
      <c r="G633" s="34"/>
    </row>
    <row r="634" ht="15.75" customHeight="1" spans="5:7">
      <c r="E634" s="33"/>
      <c r="G634" s="34"/>
    </row>
    <row r="635" ht="15.75" customHeight="1" spans="5:7">
      <c r="E635" s="33"/>
      <c r="G635" s="34"/>
    </row>
    <row r="636" ht="15.75" customHeight="1" spans="5:7">
      <c r="E636" s="33"/>
      <c r="G636" s="34"/>
    </row>
    <row r="637" ht="15.75" customHeight="1" spans="5:7">
      <c r="E637" s="33"/>
      <c r="G637" s="34"/>
    </row>
    <row r="638" ht="15.75" customHeight="1" spans="5:7">
      <c r="E638" s="33"/>
      <c r="G638" s="34"/>
    </row>
    <row r="639" ht="15.75" customHeight="1" spans="5:7">
      <c r="E639" s="33"/>
      <c r="G639" s="34"/>
    </row>
    <row r="640" ht="15.75" customHeight="1" spans="5:7">
      <c r="E640" s="33"/>
      <c r="G640" s="34"/>
    </row>
    <row r="641" ht="15.75" customHeight="1" spans="5:7">
      <c r="E641" s="33"/>
      <c r="G641" s="34"/>
    </row>
    <row r="642" ht="15.75" customHeight="1" spans="5:7">
      <c r="E642" s="33"/>
      <c r="G642" s="34"/>
    </row>
    <row r="643" ht="15.75" customHeight="1" spans="5:7">
      <c r="E643" s="33"/>
      <c r="G643" s="34"/>
    </row>
    <row r="644" ht="15.75" customHeight="1" spans="5:7">
      <c r="E644" s="33"/>
      <c r="G644" s="34"/>
    </row>
    <row r="645" ht="15.75" customHeight="1" spans="5:7">
      <c r="E645" s="33"/>
      <c r="G645" s="34"/>
    </row>
    <row r="646" ht="15.75" customHeight="1" spans="5:7">
      <c r="E646" s="33"/>
      <c r="G646" s="34"/>
    </row>
    <row r="647" ht="15.75" customHeight="1" spans="5:7">
      <c r="E647" s="33"/>
      <c r="G647" s="34"/>
    </row>
    <row r="648" ht="15.75" customHeight="1" spans="5:7">
      <c r="E648" s="33"/>
      <c r="G648" s="34"/>
    </row>
    <row r="649" ht="15.75" customHeight="1" spans="5:7">
      <c r="E649" s="33"/>
      <c r="G649" s="34"/>
    </row>
    <row r="650" ht="15.75" customHeight="1" spans="5:7">
      <c r="E650" s="33"/>
      <c r="G650" s="34"/>
    </row>
    <row r="651" ht="15.75" customHeight="1" spans="5:7">
      <c r="E651" s="33"/>
      <c r="G651" s="34"/>
    </row>
    <row r="652" ht="15.75" customHeight="1" spans="5:7">
      <c r="E652" s="33"/>
      <c r="G652" s="34"/>
    </row>
    <row r="653" ht="15.75" customHeight="1" spans="5:7">
      <c r="E653" s="33"/>
      <c r="G653" s="34"/>
    </row>
    <row r="654" ht="15.75" customHeight="1" spans="5:7">
      <c r="E654" s="33"/>
      <c r="G654" s="34"/>
    </row>
    <row r="655" ht="15.75" customHeight="1" spans="5:7">
      <c r="E655" s="33"/>
      <c r="G655" s="34"/>
    </row>
    <row r="656" ht="15.75" customHeight="1" spans="5:7">
      <c r="E656" s="33"/>
      <c r="G656" s="34"/>
    </row>
    <row r="657" ht="15.75" customHeight="1" spans="5:7">
      <c r="E657" s="33"/>
      <c r="G657" s="34"/>
    </row>
    <row r="658" ht="15.75" customHeight="1" spans="5:7">
      <c r="E658" s="33"/>
      <c r="G658" s="34"/>
    </row>
    <row r="659" ht="15.75" customHeight="1" spans="5:7">
      <c r="E659" s="33"/>
      <c r="G659" s="34"/>
    </row>
    <row r="660" ht="15.75" customHeight="1" spans="5:7">
      <c r="E660" s="33"/>
      <c r="G660" s="34"/>
    </row>
    <row r="661" ht="15.75" customHeight="1" spans="5:7">
      <c r="E661" s="33"/>
      <c r="G661" s="34"/>
    </row>
    <row r="662" ht="15.75" customHeight="1" spans="5:7">
      <c r="E662" s="33"/>
      <c r="G662" s="34"/>
    </row>
    <row r="663" ht="15.75" customHeight="1" spans="5:7">
      <c r="E663" s="33"/>
      <c r="G663" s="34"/>
    </row>
    <row r="664" ht="15.75" customHeight="1" spans="5:7">
      <c r="E664" s="33"/>
      <c r="G664" s="34"/>
    </row>
    <row r="665" ht="15.75" customHeight="1" spans="5:7">
      <c r="E665" s="33"/>
      <c r="G665" s="34"/>
    </row>
    <row r="666" ht="15.75" customHeight="1" spans="5:7">
      <c r="E666" s="33"/>
      <c r="G666" s="34"/>
    </row>
    <row r="667" ht="15.75" customHeight="1" spans="5:7">
      <c r="E667" s="33"/>
      <c r="G667" s="34"/>
    </row>
    <row r="668" ht="15.75" customHeight="1" spans="5:7">
      <c r="E668" s="33"/>
      <c r="G668" s="34"/>
    </row>
    <row r="669" ht="15.75" customHeight="1" spans="5:7">
      <c r="E669" s="33"/>
      <c r="G669" s="34"/>
    </row>
    <row r="670" ht="15.75" customHeight="1" spans="5:7">
      <c r="E670" s="33"/>
      <c r="G670" s="34"/>
    </row>
    <row r="671" ht="15.75" customHeight="1" spans="5:7">
      <c r="E671" s="33"/>
      <c r="G671" s="34"/>
    </row>
    <row r="672" ht="15.75" customHeight="1" spans="5:7">
      <c r="E672" s="33"/>
      <c r="G672" s="34"/>
    </row>
    <row r="673" ht="15.75" customHeight="1" spans="5:7">
      <c r="E673" s="33"/>
      <c r="G673" s="34"/>
    </row>
    <row r="674" ht="15.75" customHeight="1" spans="5:7">
      <c r="E674" s="33"/>
      <c r="G674" s="34"/>
    </row>
    <row r="675" ht="15.75" customHeight="1" spans="5:7">
      <c r="E675" s="33"/>
      <c r="G675" s="34"/>
    </row>
    <row r="676" ht="15.75" customHeight="1" spans="5:7">
      <c r="E676" s="33"/>
      <c r="G676" s="34"/>
    </row>
    <row r="677" ht="15.75" customHeight="1" spans="5:7">
      <c r="E677" s="33"/>
      <c r="G677" s="34"/>
    </row>
    <row r="678" ht="15.75" customHeight="1" spans="5:7">
      <c r="E678" s="33"/>
      <c r="G678" s="34"/>
    </row>
    <row r="679" ht="15.75" customHeight="1" spans="5:7">
      <c r="E679" s="33"/>
      <c r="G679" s="34"/>
    </row>
    <row r="680" ht="15.75" customHeight="1" spans="5:7">
      <c r="E680" s="33"/>
      <c r="G680" s="34"/>
    </row>
    <row r="681" ht="15.75" customHeight="1" spans="5:7">
      <c r="E681" s="33"/>
      <c r="G681" s="34"/>
    </row>
    <row r="682" ht="15.75" customHeight="1" spans="5:7">
      <c r="E682" s="33"/>
      <c r="G682" s="34"/>
    </row>
    <row r="683" ht="15.75" customHeight="1" spans="5:7">
      <c r="E683" s="33"/>
      <c r="G683" s="34"/>
    </row>
    <row r="684" ht="15.75" customHeight="1" spans="5:7">
      <c r="E684" s="33"/>
      <c r="G684" s="34"/>
    </row>
    <row r="685" ht="15.75" customHeight="1" spans="5:7">
      <c r="E685" s="33"/>
      <c r="G685" s="34"/>
    </row>
    <row r="686" ht="15.75" customHeight="1" spans="5:7">
      <c r="E686" s="33"/>
      <c r="G686" s="34"/>
    </row>
    <row r="687" ht="15.75" customHeight="1" spans="5:7">
      <c r="E687" s="33"/>
      <c r="G687" s="34"/>
    </row>
    <row r="688" ht="15.75" customHeight="1" spans="5:7">
      <c r="E688" s="33"/>
      <c r="G688" s="34"/>
    </row>
    <row r="689" ht="15.75" customHeight="1" spans="5:7">
      <c r="E689" s="33"/>
      <c r="G689" s="34"/>
    </row>
    <row r="690" ht="15.75" customHeight="1" spans="5:7">
      <c r="E690" s="33"/>
      <c r="G690" s="34"/>
    </row>
    <row r="691" ht="15.75" customHeight="1" spans="5:7">
      <c r="E691" s="33"/>
      <c r="G691" s="34"/>
    </row>
    <row r="692" ht="15.75" customHeight="1" spans="5:7">
      <c r="E692" s="33"/>
      <c r="G692" s="34"/>
    </row>
    <row r="693" ht="15.75" customHeight="1" spans="5:7">
      <c r="E693" s="33"/>
      <c r="G693" s="34"/>
    </row>
    <row r="694" ht="15.75" customHeight="1" spans="5:7">
      <c r="E694" s="33"/>
      <c r="G694" s="34"/>
    </row>
    <row r="695" ht="15.75" customHeight="1" spans="5:7">
      <c r="E695" s="33"/>
      <c r="G695" s="34"/>
    </row>
    <row r="696" ht="15.75" customHeight="1" spans="5:7">
      <c r="E696" s="33"/>
      <c r="G696" s="34"/>
    </row>
    <row r="697" ht="15.75" customHeight="1" spans="5:7">
      <c r="E697" s="33"/>
      <c r="G697" s="34"/>
    </row>
    <row r="698" ht="15.75" customHeight="1" spans="5:7">
      <c r="E698" s="33"/>
      <c r="G698" s="34"/>
    </row>
    <row r="699" ht="15.75" customHeight="1" spans="5:7">
      <c r="E699" s="33"/>
      <c r="G699" s="34"/>
    </row>
    <row r="700" ht="15.75" customHeight="1" spans="5:7">
      <c r="E700" s="33"/>
      <c r="G700" s="34"/>
    </row>
    <row r="701" ht="15.75" customHeight="1" spans="5:7">
      <c r="E701" s="33"/>
      <c r="G701" s="34"/>
    </row>
    <row r="702" ht="15.75" customHeight="1" spans="5:7">
      <c r="E702" s="33"/>
      <c r="G702" s="34"/>
    </row>
    <row r="703" ht="15.75" customHeight="1" spans="5:7">
      <c r="E703" s="33"/>
      <c r="G703" s="34"/>
    </row>
    <row r="704" ht="15.75" customHeight="1" spans="5:7">
      <c r="E704" s="33"/>
      <c r="G704" s="34"/>
    </row>
    <row r="705" ht="15.75" customHeight="1" spans="5:7">
      <c r="E705" s="33"/>
      <c r="G705" s="34"/>
    </row>
    <row r="706" ht="15.75" customHeight="1" spans="5:7">
      <c r="E706" s="33"/>
      <c r="G706" s="34"/>
    </row>
    <row r="707" ht="15.75" customHeight="1" spans="5:7">
      <c r="E707" s="33"/>
      <c r="G707" s="34"/>
    </row>
    <row r="708" ht="15.75" customHeight="1" spans="5:7">
      <c r="E708" s="33"/>
      <c r="G708" s="34"/>
    </row>
    <row r="709" ht="15.75" customHeight="1" spans="5:7">
      <c r="E709" s="33"/>
      <c r="G709" s="34"/>
    </row>
    <row r="710" ht="15.75" customHeight="1" spans="5:7">
      <c r="E710" s="33"/>
      <c r="G710" s="34"/>
    </row>
    <row r="711" ht="15.75" customHeight="1" spans="5:7">
      <c r="E711" s="33"/>
      <c r="G711" s="34"/>
    </row>
    <row r="712" ht="15.75" customHeight="1" spans="5:7">
      <c r="E712" s="33"/>
      <c r="G712" s="34"/>
    </row>
    <row r="713" ht="15.75" customHeight="1" spans="5:7">
      <c r="E713" s="33"/>
      <c r="G713" s="34"/>
    </row>
    <row r="714" ht="15.75" customHeight="1" spans="5:7">
      <c r="E714" s="33"/>
      <c r="G714" s="34"/>
    </row>
    <row r="715" ht="15.75" customHeight="1" spans="5:7">
      <c r="E715" s="33"/>
      <c r="G715" s="34"/>
    </row>
    <row r="716" ht="15.75" customHeight="1" spans="5:7">
      <c r="E716" s="33"/>
      <c r="G716" s="34"/>
    </row>
    <row r="717" ht="15.75" customHeight="1" spans="5:7">
      <c r="E717" s="33"/>
      <c r="G717" s="34"/>
    </row>
    <row r="718" ht="15.75" customHeight="1" spans="5:7">
      <c r="E718" s="33"/>
      <c r="G718" s="34"/>
    </row>
    <row r="719" ht="15.75" customHeight="1" spans="5:7">
      <c r="E719" s="33"/>
      <c r="G719" s="34"/>
    </row>
    <row r="720" ht="15.75" customHeight="1" spans="5:7">
      <c r="E720" s="33"/>
      <c r="G720" s="34"/>
    </row>
    <row r="721" ht="15.75" customHeight="1" spans="5:7">
      <c r="E721" s="33"/>
      <c r="G721" s="34"/>
    </row>
    <row r="722" ht="15.75" customHeight="1" spans="5:7">
      <c r="E722" s="33"/>
      <c r="G722" s="34"/>
    </row>
    <row r="723" ht="15.75" customHeight="1" spans="5:7">
      <c r="E723" s="33"/>
      <c r="G723" s="34"/>
    </row>
    <row r="724" ht="15.75" customHeight="1" spans="5:7">
      <c r="E724" s="33"/>
      <c r="G724" s="34"/>
    </row>
    <row r="725" ht="15.75" customHeight="1" spans="5:7">
      <c r="E725" s="33"/>
      <c r="G725" s="34"/>
    </row>
    <row r="726" ht="15.75" customHeight="1" spans="5:7">
      <c r="E726" s="33"/>
      <c r="G726" s="34"/>
    </row>
    <row r="727" ht="15.75" customHeight="1" spans="5:7">
      <c r="E727" s="33"/>
      <c r="G727" s="34"/>
    </row>
    <row r="728" ht="15.75" customHeight="1" spans="5:7">
      <c r="E728" s="33"/>
      <c r="G728" s="34"/>
    </row>
    <row r="729" ht="15.75" customHeight="1" spans="5:7">
      <c r="E729" s="33"/>
      <c r="G729" s="34"/>
    </row>
    <row r="730" ht="15.75" customHeight="1" spans="5:7">
      <c r="E730" s="33"/>
      <c r="G730" s="34"/>
    </row>
    <row r="731" ht="15.75" customHeight="1" spans="5:7">
      <c r="E731" s="33"/>
      <c r="G731" s="34"/>
    </row>
    <row r="732" ht="15.75" customHeight="1" spans="5:7">
      <c r="E732" s="33"/>
      <c r="G732" s="34"/>
    </row>
    <row r="733" ht="15.75" customHeight="1" spans="5:7">
      <c r="E733" s="33"/>
      <c r="G733" s="34"/>
    </row>
    <row r="734" ht="15.75" customHeight="1" spans="5:7">
      <c r="E734" s="33"/>
      <c r="G734" s="34"/>
    </row>
    <row r="735" ht="15.75" customHeight="1" spans="5:7">
      <c r="E735" s="33"/>
      <c r="G735" s="34"/>
    </row>
    <row r="736" ht="15.75" customHeight="1" spans="5:7">
      <c r="E736" s="33"/>
      <c r="G736" s="34"/>
    </row>
    <row r="737" ht="15.75" customHeight="1" spans="5:7">
      <c r="E737" s="33"/>
      <c r="G737" s="34"/>
    </row>
    <row r="738" ht="15.75" customHeight="1" spans="5:7">
      <c r="E738" s="33"/>
      <c r="G738" s="34"/>
    </row>
    <row r="739" ht="15.75" customHeight="1" spans="5:7">
      <c r="E739" s="33"/>
      <c r="G739" s="34"/>
    </row>
    <row r="740" ht="15.75" customHeight="1" spans="5:7">
      <c r="E740" s="33"/>
      <c r="G740" s="34"/>
    </row>
    <row r="741" ht="15.75" customHeight="1" spans="5:7">
      <c r="E741" s="33"/>
      <c r="G741" s="34"/>
    </row>
    <row r="742" ht="15.75" customHeight="1" spans="5:7">
      <c r="E742" s="33"/>
      <c r="G742" s="34"/>
    </row>
    <row r="743" ht="15.75" customHeight="1" spans="5:7">
      <c r="E743" s="33"/>
      <c r="G743" s="34"/>
    </row>
    <row r="744" ht="15.75" customHeight="1" spans="5:7">
      <c r="E744" s="33"/>
      <c r="G744" s="34"/>
    </row>
    <row r="745" ht="15.75" customHeight="1" spans="5:7">
      <c r="E745" s="33"/>
      <c r="G745" s="34"/>
    </row>
    <row r="746" ht="15.75" customHeight="1" spans="5:7">
      <c r="E746" s="33"/>
      <c r="G746" s="34"/>
    </row>
    <row r="747" ht="15.75" customHeight="1" spans="5:7">
      <c r="E747" s="33"/>
      <c r="G747" s="34"/>
    </row>
    <row r="748" ht="15.75" customHeight="1" spans="5:7">
      <c r="E748" s="33"/>
      <c r="G748" s="34"/>
    </row>
    <row r="749" ht="15.75" customHeight="1" spans="5:7">
      <c r="E749" s="33"/>
      <c r="G749" s="34"/>
    </row>
    <row r="750" ht="15.75" customHeight="1" spans="5:7">
      <c r="E750" s="33"/>
      <c r="G750" s="34"/>
    </row>
    <row r="751" ht="15.75" customHeight="1" spans="5:7">
      <c r="E751" s="33"/>
      <c r="G751" s="34"/>
    </row>
    <row r="752" ht="15.75" customHeight="1" spans="5:7">
      <c r="E752" s="33"/>
      <c r="G752" s="34"/>
    </row>
    <row r="753" ht="15.75" customHeight="1" spans="5:7">
      <c r="E753" s="33"/>
      <c r="G753" s="34"/>
    </row>
    <row r="754" ht="15.75" customHeight="1" spans="5:7">
      <c r="E754" s="33"/>
      <c r="G754" s="34"/>
    </row>
    <row r="755" ht="15.75" customHeight="1" spans="5:7">
      <c r="E755" s="33"/>
      <c r="G755" s="34"/>
    </row>
    <row r="756" ht="15.75" customHeight="1" spans="5:7">
      <c r="E756" s="33"/>
      <c r="G756" s="34"/>
    </row>
    <row r="757" ht="15.75" customHeight="1" spans="5:7">
      <c r="E757" s="33"/>
      <c r="G757" s="34"/>
    </row>
    <row r="758" ht="15.75" customHeight="1" spans="5:7">
      <c r="E758" s="33"/>
      <c r="G758" s="34"/>
    </row>
    <row r="759" ht="15.75" customHeight="1" spans="5:7">
      <c r="E759" s="33"/>
      <c r="G759" s="34"/>
    </row>
    <row r="760" ht="15.75" customHeight="1" spans="5:7">
      <c r="E760" s="33"/>
      <c r="G760" s="34"/>
    </row>
    <row r="761" ht="15.75" customHeight="1" spans="5:7">
      <c r="E761" s="33"/>
      <c r="G761" s="34"/>
    </row>
    <row r="762" ht="15.75" customHeight="1" spans="5:7">
      <c r="E762" s="33"/>
      <c r="G762" s="34"/>
    </row>
    <row r="763" ht="15.75" customHeight="1" spans="5:7">
      <c r="E763" s="33"/>
      <c r="G763" s="34"/>
    </row>
    <row r="764" ht="15.75" customHeight="1" spans="5:7">
      <c r="E764" s="33"/>
      <c r="G764" s="34"/>
    </row>
    <row r="765" ht="15.75" customHeight="1" spans="5:7">
      <c r="E765" s="33"/>
      <c r="G765" s="34"/>
    </row>
    <row r="766" ht="15.75" customHeight="1" spans="5:7">
      <c r="E766" s="33"/>
      <c r="G766" s="34"/>
    </row>
    <row r="767" ht="15.75" customHeight="1" spans="5:7">
      <c r="E767" s="33"/>
      <c r="G767" s="34"/>
    </row>
    <row r="768" ht="15.75" customHeight="1" spans="5:7">
      <c r="E768" s="33"/>
      <c r="G768" s="34"/>
    </row>
    <row r="769" ht="15.75" customHeight="1" spans="5:7">
      <c r="E769" s="33"/>
      <c r="G769" s="34"/>
    </row>
    <row r="770" ht="15.75" customHeight="1" spans="5:7">
      <c r="E770" s="33"/>
      <c r="G770" s="34"/>
    </row>
    <row r="771" ht="15.75" customHeight="1" spans="5:7">
      <c r="E771" s="33"/>
      <c r="G771" s="34"/>
    </row>
    <row r="772" ht="15.75" customHeight="1" spans="5:7">
      <c r="E772" s="33"/>
      <c r="G772" s="34"/>
    </row>
    <row r="773" ht="15.75" customHeight="1" spans="5:7">
      <c r="E773" s="33"/>
      <c r="G773" s="34"/>
    </row>
    <row r="774" ht="15.75" customHeight="1" spans="5:7">
      <c r="E774" s="33"/>
      <c r="G774" s="34"/>
    </row>
    <row r="775" ht="15.75" customHeight="1" spans="5:7">
      <c r="E775" s="33"/>
      <c r="G775" s="34"/>
    </row>
    <row r="776" ht="15.75" customHeight="1" spans="5:7">
      <c r="E776" s="33"/>
      <c r="G776" s="34"/>
    </row>
    <row r="777" ht="15.75" customHeight="1" spans="5:7">
      <c r="E777" s="33"/>
      <c r="G777" s="34"/>
    </row>
    <row r="778" ht="15.75" customHeight="1" spans="5:7">
      <c r="E778" s="33"/>
      <c r="G778" s="34"/>
    </row>
    <row r="779" ht="15.75" customHeight="1" spans="5:7">
      <c r="E779" s="33"/>
      <c r="G779" s="34"/>
    </row>
    <row r="780" ht="15.75" customHeight="1" spans="5:7">
      <c r="E780" s="33"/>
      <c r="G780" s="34"/>
    </row>
    <row r="781" ht="15.75" customHeight="1" spans="5:7">
      <c r="E781" s="33"/>
      <c r="G781" s="34"/>
    </row>
    <row r="782" ht="15.75" customHeight="1" spans="5:7">
      <c r="E782" s="33"/>
      <c r="G782" s="34"/>
    </row>
    <row r="783" ht="15.75" customHeight="1" spans="5:7">
      <c r="E783" s="33"/>
      <c r="G783" s="34"/>
    </row>
    <row r="784" ht="15.75" customHeight="1" spans="5:7">
      <c r="E784" s="33"/>
      <c r="G784" s="34"/>
    </row>
    <row r="785" ht="15.75" customHeight="1" spans="5:7">
      <c r="E785" s="33"/>
      <c r="G785" s="34"/>
    </row>
    <row r="786" ht="15.75" customHeight="1" spans="5:7">
      <c r="E786" s="33"/>
      <c r="G786" s="34"/>
    </row>
    <row r="787" ht="15.75" customHeight="1" spans="5:7">
      <c r="E787" s="33"/>
      <c r="G787" s="34"/>
    </row>
    <row r="788" ht="15.75" customHeight="1" spans="5:7">
      <c r="E788" s="33"/>
      <c r="G788" s="34"/>
    </row>
    <row r="789" ht="15.75" customHeight="1" spans="5:7">
      <c r="E789" s="33"/>
      <c r="G789" s="34"/>
    </row>
    <row r="790" ht="15.75" customHeight="1" spans="5:7">
      <c r="E790" s="33"/>
      <c r="G790" s="34"/>
    </row>
    <row r="791" ht="15.75" customHeight="1" spans="5:7">
      <c r="E791" s="33"/>
      <c r="G791" s="34"/>
    </row>
    <row r="792" ht="15.75" customHeight="1" spans="5:7">
      <c r="E792" s="33"/>
      <c r="G792" s="34"/>
    </row>
    <row r="793" ht="15.75" customHeight="1" spans="5:7">
      <c r="E793" s="33"/>
      <c r="G793" s="34"/>
    </row>
    <row r="794" ht="15.75" customHeight="1" spans="5:7">
      <c r="E794" s="33"/>
      <c r="G794" s="34"/>
    </row>
    <row r="795" ht="15.75" customHeight="1" spans="5:7">
      <c r="E795" s="33"/>
      <c r="G795" s="34"/>
    </row>
    <row r="796" ht="15.75" customHeight="1" spans="5:7">
      <c r="E796" s="33"/>
      <c r="G796" s="34"/>
    </row>
    <row r="797" ht="15.75" customHeight="1" spans="5:7">
      <c r="E797" s="33"/>
      <c r="G797" s="34"/>
    </row>
    <row r="798" ht="15.75" customHeight="1" spans="5:7">
      <c r="E798" s="33"/>
      <c r="G798" s="34"/>
    </row>
    <row r="799" ht="15.75" customHeight="1" spans="5:7">
      <c r="E799" s="33"/>
      <c r="G799" s="34"/>
    </row>
    <row r="800" ht="15.75" customHeight="1" spans="5:7">
      <c r="E800" s="33"/>
      <c r="G800" s="34"/>
    </row>
    <row r="801" ht="15.75" customHeight="1" spans="5:7">
      <c r="E801" s="33"/>
      <c r="G801" s="34"/>
    </row>
    <row r="802" ht="15.75" customHeight="1" spans="5:7">
      <c r="E802" s="33"/>
      <c r="G802" s="34"/>
    </row>
    <row r="803" ht="15.75" customHeight="1" spans="5:7">
      <c r="E803" s="33"/>
      <c r="G803" s="34"/>
    </row>
    <row r="804" ht="15.75" customHeight="1" spans="5:7">
      <c r="E804" s="33"/>
      <c r="G804" s="34"/>
    </row>
    <row r="805" ht="15.75" customHeight="1" spans="5:7">
      <c r="E805" s="33"/>
      <c r="G805" s="34"/>
    </row>
    <row r="806" ht="15.75" customHeight="1" spans="5:7">
      <c r="E806" s="33"/>
      <c r="G806" s="34"/>
    </row>
    <row r="807" ht="15.75" customHeight="1" spans="5:7">
      <c r="E807" s="33"/>
      <c r="G807" s="34"/>
    </row>
    <row r="808" ht="15.75" customHeight="1" spans="5:7">
      <c r="E808" s="33"/>
      <c r="G808" s="34"/>
    </row>
    <row r="809" ht="15.75" customHeight="1" spans="5:7">
      <c r="E809" s="33"/>
      <c r="G809" s="34"/>
    </row>
    <row r="810" ht="15.75" customHeight="1" spans="5:7">
      <c r="E810" s="33"/>
      <c r="G810" s="34"/>
    </row>
    <row r="811" ht="15.75" customHeight="1" spans="5:7">
      <c r="E811" s="33"/>
      <c r="G811" s="34"/>
    </row>
    <row r="812" ht="15.75" customHeight="1" spans="5:7">
      <c r="E812" s="33"/>
      <c r="G812" s="34"/>
    </row>
    <row r="813" ht="15.75" customHeight="1" spans="5:7">
      <c r="E813" s="33"/>
      <c r="G813" s="34"/>
    </row>
    <row r="814" ht="15.75" customHeight="1" spans="5:7">
      <c r="E814" s="33"/>
      <c r="G814" s="34"/>
    </row>
    <row r="815" ht="15.75" customHeight="1" spans="5:7">
      <c r="E815" s="33"/>
      <c r="G815" s="34"/>
    </row>
    <row r="816" ht="15.75" customHeight="1" spans="5:7">
      <c r="E816" s="33"/>
      <c r="G816" s="34"/>
    </row>
    <row r="817" ht="15.75" customHeight="1" spans="5:7">
      <c r="E817" s="33"/>
      <c r="G817" s="34"/>
    </row>
    <row r="818" ht="15.75" customHeight="1" spans="5:7">
      <c r="E818" s="33"/>
      <c r="G818" s="34"/>
    </row>
    <row r="819" ht="15.75" customHeight="1" spans="5:7">
      <c r="E819" s="33"/>
      <c r="G819" s="34"/>
    </row>
    <row r="820" ht="15.75" customHeight="1" spans="5:7">
      <c r="E820" s="33"/>
      <c r="G820" s="34"/>
    </row>
    <row r="821" ht="15.75" customHeight="1" spans="5:7">
      <c r="E821" s="33"/>
      <c r="G821" s="34"/>
    </row>
    <row r="822" ht="15.75" customHeight="1" spans="5:7">
      <c r="E822" s="33"/>
      <c r="G822" s="34"/>
    </row>
    <row r="823" ht="15.75" customHeight="1" spans="5:7">
      <c r="E823" s="33"/>
      <c r="G823" s="34"/>
    </row>
    <row r="824" ht="15.75" customHeight="1" spans="5:7">
      <c r="E824" s="33"/>
      <c r="G824" s="34"/>
    </row>
    <row r="825" ht="15.75" customHeight="1" spans="5:7">
      <c r="E825" s="33"/>
      <c r="G825" s="34"/>
    </row>
    <row r="826" ht="15.75" customHeight="1" spans="5:7">
      <c r="E826" s="33"/>
      <c r="G826" s="34"/>
    </row>
    <row r="827" ht="15.75" customHeight="1" spans="5:7">
      <c r="E827" s="33"/>
      <c r="G827" s="34"/>
    </row>
    <row r="828" ht="15.75" customHeight="1" spans="5:7">
      <c r="E828" s="33"/>
      <c r="G828" s="34"/>
    </row>
    <row r="829" ht="15.75" customHeight="1" spans="5:7">
      <c r="E829" s="33"/>
      <c r="G829" s="34"/>
    </row>
    <row r="830" ht="15.75" customHeight="1" spans="5:7">
      <c r="E830" s="33"/>
      <c r="G830" s="34"/>
    </row>
    <row r="831" ht="15.75" customHeight="1" spans="5:7">
      <c r="E831" s="33"/>
      <c r="G831" s="34"/>
    </row>
    <row r="832" ht="15.75" customHeight="1" spans="5:7">
      <c r="E832" s="33"/>
      <c r="G832" s="34"/>
    </row>
    <row r="833" ht="15.75" customHeight="1" spans="5:7">
      <c r="E833" s="33"/>
      <c r="G833" s="34"/>
    </row>
    <row r="834" ht="15.75" customHeight="1" spans="5:7">
      <c r="E834" s="33"/>
      <c r="G834" s="34"/>
    </row>
    <row r="835" ht="15.75" customHeight="1" spans="5:7">
      <c r="E835" s="33"/>
      <c r="G835" s="34"/>
    </row>
    <row r="836" ht="15.75" customHeight="1" spans="5:7">
      <c r="E836" s="33"/>
      <c r="G836" s="34"/>
    </row>
    <row r="837" ht="15.75" customHeight="1" spans="5:7">
      <c r="E837" s="33"/>
      <c r="G837" s="34"/>
    </row>
    <row r="838" ht="15.75" customHeight="1" spans="5:7">
      <c r="E838" s="33"/>
      <c r="G838" s="34"/>
    </row>
    <row r="839" ht="15.75" customHeight="1" spans="5:7">
      <c r="E839" s="33"/>
      <c r="G839" s="34"/>
    </row>
    <row r="840" ht="15.75" customHeight="1" spans="5:7">
      <c r="E840" s="33"/>
      <c r="G840" s="34"/>
    </row>
    <row r="841" ht="15.75" customHeight="1" spans="5:7">
      <c r="E841" s="33"/>
      <c r="G841" s="34"/>
    </row>
    <row r="842" ht="15.75" customHeight="1" spans="5:7">
      <c r="E842" s="33"/>
      <c r="G842" s="34"/>
    </row>
    <row r="843" ht="15.75" customHeight="1" spans="5:7">
      <c r="E843" s="33"/>
      <c r="G843" s="34"/>
    </row>
    <row r="844" ht="15.75" customHeight="1" spans="5:7">
      <c r="E844" s="33"/>
      <c r="G844" s="34"/>
    </row>
    <row r="845" ht="15.75" customHeight="1" spans="5:7">
      <c r="E845" s="33"/>
      <c r="G845" s="34"/>
    </row>
    <row r="846" ht="15.75" customHeight="1" spans="5:7">
      <c r="E846" s="33"/>
      <c r="G846" s="34"/>
    </row>
    <row r="847" ht="15.75" customHeight="1" spans="5:7">
      <c r="E847" s="33"/>
      <c r="G847" s="34"/>
    </row>
    <row r="848" ht="15.75" customHeight="1" spans="5:7">
      <c r="E848" s="33"/>
      <c r="G848" s="34"/>
    </row>
    <row r="849" ht="15.75" customHeight="1" spans="5:7">
      <c r="E849" s="33"/>
      <c r="G849" s="34"/>
    </row>
    <row r="850" ht="15.75" customHeight="1" spans="5:7">
      <c r="E850" s="33"/>
      <c r="G850" s="34"/>
    </row>
    <row r="851" ht="15.75" customHeight="1" spans="5:7">
      <c r="E851" s="33"/>
      <c r="G851" s="34"/>
    </row>
    <row r="852" ht="15.75" customHeight="1" spans="5:7">
      <c r="E852" s="33"/>
      <c r="G852" s="34"/>
    </row>
    <row r="853" ht="15.75" customHeight="1" spans="5:7">
      <c r="E853" s="33"/>
      <c r="G853" s="34"/>
    </row>
    <row r="854" ht="15.75" customHeight="1" spans="5:7">
      <c r="E854" s="33"/>
      <c r="G854" s="34"/>
    </row>
    <row r="855" ht="15.75" customHeight="1" spans="5:7">
      <c r="E855" s="33"/>
      <c r="G855" s="34"/>
    </row>
    <row r="856" ht="15.75" customHeight="1" spans="5:7">
      <c r="E856" s="33"/>
      <c r="G856" s="34"/>
    </row>
    <row r="857" ht="15.75" customHeight="1" spans="5:7">
      <c r="E857" s="33"/>
      <c r="G857" s="34"/>
    </row>
    <row r="858" ht="15.75" customHeight="1" spans="5:7">
      <c r="E858" s="33"/>
      <c r="G858" s="34"/>
    </row>
    <row r="859" ht="15.75" customHeight="1" spans="5:7">
      <c r="E859" s="33"/>
      <c r="G859" s="34"/>
    </row>
    <row r="860" ht="15.75" customHeight="1" spans="5:7">
      <c r="E860" s="33"/>
      <c r="G860" s="34"/>
    </row>
    <row r="861" ht="15.75" customHeight="1" spans="5:7">
      <c r="E861" s="33"/>
      <c r="G861" s="34"/>
    </row>
    <row r="862" ht="15.75" customHeight="1" spans="5:7">
      <c r="E862" s="33"/>
      <c r="G862" s="34"/>
    </row>
    <row r="863" ht="15.75" customHeight="1" spans="5:7">
      <c r="E863" s="33"/>
      <c r="G863" s="34"/>
    </row>
    <row r="864" ht="15.75" customHeight="1" spans="5:7">
      <c r="E864" s="33"/>
      <c r="G864" s="34"/>
    </row>
    <row r="865" ht="15.75" customHeight="1" spans="5:7">
      <c r="E865" s="33"/>
      <c r="G865" s="34"/>
    </row>
    <row r="866" ht="15.75" customHeight="1" spans="5:7">
      <c r="E866" s="33"/>
      <c r="G866" s="34"/>
    </row>
    <row r="867" ht="15.75" customHeight="1" spans="5:7">
      <c r="E867" s="33"/>
      <c r="G867" s="34"/>
    </row>
    <row r="868" ht="15.75" customHeight="1" spans="5:7">
      <c r="E868" s="33"/>
      <c r="G868" s="34"/>
    </row>
    <row r="869" ht="15.75" customHeight="1" spans="5:7">
      <c r="E869" s="33"/>
      <c r="G869" s="34"/>
    </row>
    <row r="870" ht="15.75" customHeight="1" spans="5:7">
      <c r="E870" s="33"/>
      <c r="G870" s="34"/>
    </row>
    <row r="871" ht="15.75" customHeight="1" spans="5:7">
      <c r="E871" s="33"/>
      <c r="G871" s="34"/>
    </row>
    <row r="872" ht="15.75" customHeight="1" spans="5:7">
      <c r="E872" s="33"/>
      <c r="G872" s="34"/>
    </row>
    <row r="873" ht="15.75" customHeight="1" spans="5:7">
      <c r="E873" s="33"/>
      <c r="G873" s="34"/>
    </row>
    <row r="874" ht="15.75" customHeight="1" spans="5:7">
      <c r="E874" s="33"/>
      <c r="G874" s="34"/>
    </row>
    <row r="875" ht="15.75" customHeight="1" spans="5:7">
      <c r="E875" s="33"/>
      <c r="G875" s="34"/>
    </row>
    <row r="876" ht="15.75" customHeight="1" spans="5:7">
      <c r="E876" s="33"/>
      <c r="G876" s="34"/>
    </row>
    <row r="877" ht="15.75" customHeight="1" spans="5:7">
      <c r="E877" s="33"/>
      <c r="G877" s="34"/>
    </row>
    <row r="878" ht="15.75" customHeight="1" spans="5:7">
      <c r="E878" s="33"/>
      <c r="G878" s="34"/>
    </row>
    <row r="879" ht="15.75" customHeight="1" spans="5:7">
      <c r="E879" s="33"/>
      <c r="G879" s="34"/>
    </row>
    <row r="880" ht="15.75" customHeight="1" spans="5:7">
      <c r="E880" s="33"/>
      <c r="G880" s="34"/>
    </row>
    <row r="881" ht="15.75" customHeight="1" spans="5:7">
      <c r="E881" s="33"/>
      <c r="G881" s="34"/>
    </row>
    <row r="882" ht="15.75" customHeight="1" spans="5:7">
      <c r="E882" s="33"/>
      <c r="G882" s="34"/>
    </row>
    <row r="883" ht="15.75" customHeight="1" spans="5:7">
      <c r="E883" s="33"/>
      <c r="G883" s="34"/>
    </row>
    <row r="884" ht="15.75" customHeight="1" spans="5:7">
      <c r="E884" s="33"/>
      <c r="G884" s="34"/>
    </row>
    <row r="885" ht="15.75" customHeight="1" spans="5:7">
      <c r="E885" s="33"/>
      <c r="G885" s="34"/>
    </row>
    <row r="886" ht="15.75" customHeight="1" spans="5:7">
      <c r="E886" s="33"/>
      <c r="G886" s="34"/>
    </row>
    <row r="887" ht="15.75" customHeight="1" spans="5:7">
      <c r="E887" s="33"/>
      <c r="G887" s="34"/>
    </row>
    <row r="888" ht="15.75" customHeight="1" spans="5:7">
      <c r="E888" s="33"/>
      <c r="G888" s="34"/>
    </row>
    <row r="889" ht="15.75" customHeight="1" spans="5:7">
      <c r="E889" s="33"/>
      <c r="G889" s="34"/>
    </row>
    <row r="890" ht="15.75" customHeight="1" spans="5:7">
      <c r="E890" s="33"/>
      <c r="G890" s="34"/>
    </row>
    <row r="891" ht="15.75" customHeight="1" spans="5:7">
      <c r="E891" s="33"/>
      <c r="G891" s="34"/>
    </row>
    <row r="892" ht="15.75" customHeight="1" spans="5:7">
      <c r="E892" s="33"/>
      <c r="G892" s="34"/>
    </row>
    <row r="893" ht="15.75" customHeight="1" spans="5:7">
      <c r="E893" s="33"/>
      <c r="G893" s="34"/>
    </row>
    <row r="894" ht="15.75" customHeight="1" spans="5:7">
      <c r="E894" s="33"/>
      <c r="G894" s="34"/>
    </row>
    <row r="895" ht="15.75" customHeight="1" spans="5:7">
      <c r="E895" s="33"/>
      <c r="G895" s="34"/>
    </row>
    <row r="896" ht="15.75" customHeight="1" spans="5:7">
      <c r="E896" s="33"/>
      <c r="G896" s="34"/>
    </row>
    <row r="897" ht="15.75" customHeight="1" spans="5:7">
      <c r="E897" s="33"/>
      <c r="G897" s="34"/>
    </row>
    <row r="898" ht="15.75" customHeight="1" spans="5:7">
      <c r="E898" s="33"/>
      <c r="G898" s="34"/>
    </row>
    <row r="899" ht="15.75" customHeight="1" spans="5:7">
      <c r="E899" s="33"/>
      <c r="G899" s="34"/>
    </row>
    <row r="900" ht="15.75" customHeight="1" spans="5:7">
      <c r="E900" s="33"/>
      <c r="G900" s="34"/>
    </row>
    <row r="901" ht="15.75" customHeight="1" spans="5:7">
      <c r="E901" s="33"/>
      <c r="G901" s="34"/>
    </row>
    <row r="902" ht="15.75" customHeight="1" spans="5:7">
      <c r="E902" s="33"/>
      <c r="G902" s="34"/>
    </row>
    <row r="903" ht="15.75" customHeight="1" spans="5:7">
      <c r="E903" s="33"/>
      <c r="G903" s="34"/>
    </row>
    <row r="904" ht="15.75" customHeight="1" spans="5:7">
      <c r="E904" s="33"/>
      <c r="G904" s="34"/>
    </row>
    <row r="905" ht="15.75" customHeight="1" spans="5:7">
      <c r="E905" s="33"/>
      <c r="G905" s="34"/>
    </row>
    <row r="906" ht="15.75" customHeight="1" spans="5:7">
      <c r="E906" s="33"/>
      <c r="G906" s="34"/>
    </row>
    <row r="907" ht="15.75" customHeight="1" spans="5:7">
      <c r="E907" s="33"/>
      <c r="G907" s="34"/>
    </row>
    <row r="908" ht="15.75" customHeight="1" spans="5:7">
      <c r="E908" s="33"/>
      <c r="G908" s="34"/>
    </row>
    <row r="909" ht="15.75" customHeight="1" spans="5:7">
      <c r="E909" s="33"/>
      <c r="G909" s="34"/>
    </row>
    <row r="910" ht="15.75" customHeight="1" spans="5:7">
      <c r="E910" s="33"/>
      <c r="G910" s="34"/>
    </row>
    <row r="911" ht="15.75" customHeight="1" spans="5:7">
      <c r="E911" s="33"/>
      <c r="G911" s="34"/>
    </row>
    <row r="912" ht="15.75" customHeight="1" spans="5:7">
      <c r="E912" s="33"/>
      <c r="G912" s="34"/>
    </row>
    <row r="913" ht="15.75" customHeight="1" spans="5:7">
      <c r="E913" s="33"/>
      <c r="G913" s="34"/>
    </row>
    <row r="914" ht="15.75" customHeight="1" spans="5:7">
      <c r="E914" s="33"/>
      <c r="G914" s="34"/>
    </row>
    <row r="915" ht="15.75" customHeight="1" spans="5:7">
      <c r="E915" s="33"/>
      <c r="G915" s="34"/>
    </row>
    <row r="916" ht="15.75" customHeight="1" spans="5:7">
      <c r="E916" s="33"/>
      <c r="G916" s="34"/>
    </row>
    <row r="917" ht="15.75" customHeight="1" spans="5:7">
      <c r="E917" s="33"/>
      <c r="G917" s="34"/>
    </row>
    <row r="918" ht="15.75" customHeight="1" spans="5:7">
      <c r="E918" s="33"/>
      <c r="G918" s="34"/>
    </row>
    <row r="919" ht="15.75" customHeight="1" spans="5:7">
      <c r="E919" s="33"/>
      <c r="G919" s="34"/>
    </row>
    <row r="920" ht="15.75" customHeight="1" spans="5:7">
      <c r="E920" s="33"/>
      <c r="G920" s="34"/>
    </row>
    <row r="921" ht="15.75" customHeight="1" spans="5:7">
      <c r="E921" s="33"/>
      <c r="G921" s="34"/>
    </row>
    <row r="922" ht="15.75" customHeight="1" spans="5:7">
      <c r="E922" s="33"/>
      <c r="G922" s="34"/>
    </row>
    <row r="923" ht="15.75" customHeight="1" spans="5:7">
      <c r="E923" s="33"/>
      <c r="G923" s="34"/>
    </row>
    <row r="924" ht="15.75" customHeight="1" spans="5:7">
      <c r="E924" s="33"/>
      <c r="G924" s="34"/>
    </row>
    <row r="925" ht="15.75" customHeight="1" spans="5:7">
      <c r="E925" s="33"/>
      <c r="G925" s="34"/>
    </row>
    <row r="926" ht="15.75" customHeight="1" spans="5:7">
      <c r="E926" s="33"/>
      <c r="G926" s="34"/>
    </row>
    <row r="927" ht="15.75" customHeight="1" spans="5:7">
      <c r="E927" s="33"/>
      <c r="G927" s="34"/>
    </row>
    <row r="928" ht="15.75" customHeight="1" spans="5:7">
      <c r="E928" s="33"/>
      <c r="G928" s="34"/>
    </row>
    <row r="929" ht="15.75" customHeight="1" spans="5:7">
      <c r="E929" s="33"/>
      <c r="G929" s="34"/>
    </row>
    <row r="930" ht="15.75" customHeight="1" spans="5:7">
      <c r="E930" s="33"/>
      <c r="G930" s="34"/>
    </row>
    <row r="931" ht="15.75" customHeight="1" spans="5:7">
      <c r="E931" s="33"/>
      <c r="G931" s="34"/>
    </row>
    <row r="932" ht="15.75" customHeight="1" spans="5:7">
      <c r="E932" s="33"/>
      <c r="G932" s="34"/>
    </row>
    <row r="933" ht="15.75" customHeight="1" spans="5:7">
      <c r="E933" s="33"/>
      <c r="G933" s="34"/>
    </row>
    <row r="934" ht="15.75" customHeight="1" spans="5:7">
      <c r="E934" s="33"/>
      <c r="G934" s="34"/>
    </row>
    <row r="935" ht="15.75" customHeight="1" spans="5:7">
      <c r="E935" s="33"/>
      <c r="G935" s="34"/>
    </row>
    <row r="936" ht="15.75" customHeight="1" spans="5:7">
      <c r="E936" s="33"/>
      <c r="G936" s="34"/>
    </row>
    <row r="937" ht="15.75" customHeight="1" spans="5:7">
      <c r="E937" s="33"/>
      <c r="G937" s="34"/>
    </row>
    <row r="938" ht="15.75" customHeight="1" spans="5:7">
      <c r="E938" s="33"/>
      <c r="G938" s="34"/>
    </row>
    <row r="939" ht="15.75" customHeight="1" spans="5:7">
      <c r="E939" s="33"/>
      <c r="G939" s="34"/>
    </row>
    <row r="940" ht="15.75" customHeight="1" spans="5:7">
      <c r="E940" s="33"/>
      <c r="G940" s="34"/>
    </row>
    <row r="941" ht="15.75" customHeight="1" spans="5:7">
      <c r="E941" s="33"/>
      <c r="G941" s="34"/>
    </row>
    <row r="942" ht="15.75" customHeight="1" spans="5:7">
      <c r="E942" s="33"/>
      <c r="G942" s="34"/>
    </row>
    <row r="943" ht="15.75" customHeight="1" spans="5:7">
      <c r="E943" s="33"/>
      <c r="G943" s="34"/>
    </row>
    <row r="944" ht="15.75" customHeight="1" spans="5:7">
      <c r="E944" s="33"/>
      <c r="G944" s="34"/>
    </row>
    <row r="945" ht="15.75" customHeight="1" spans="5:7">
      <c r="E945" s="33"/>
      <c r="G945" s="34"/>
    </row>
    <row r="946" ht="15.75" customHeight="1" spans="5:7">
      <c r="E946" s="33"/>
      <c r="G946" s="34"/>
    </row>
    <row r="947" ht="15.75" customHeight="1" spans="5:7">
      <c r="E947" s="33"/>
      <c r="G947" s="34"/>
    </row>
    <row r="948" ht="15.75" customHeight="1" spans="5:7">
      <c r="E948" s="33"/>
      <c r="G948" s="34"/>
    </row>
    <row r="949" ht="15.75" customHeight="1" spans="5:7">
      <c r="E949" s="33"/>
      <c r="G949" s="34"/>
    </row>
    <row r="950" ht="15.75" customHeight="1" spans="5:7">
      <c r="E950" s="33"/>
      <c r="G950" s="34"/>
    </row>
    <row r="951" ht="15.75" customHeight="1" spans="5:7">
      <c r="E951" s="33"/>
      <c r="G951" s="34"/>
    </row>
    <row r="952" ht="15.75" customHeight="1" spans="5:7">
      <c r="E952" s="33"/>
      <c r="G952" s="34"/>
    </row>
    <row r="953" ht="15.75" customHeight="1" spans="5:7">
      <c r="E953" s="33"/>
      <c r="G953" s="34"/>
    </row>
    <row r="954" ht="15.75" customHeight="1" spans="5:7">
      <c r="E954" s="33"/>
      <c r="G954" s="34"/>
    </row>
    <row r="955" ht="15.75" customHeight="1" spans="5:7">
      <c r="E955" s="33"/>
      <c r="G955" s="34"/>
    </row>
    <row r="956" ht="15.75" customHeight="1" spans="5:7">
      <c r="E956" s="33"/>
      <c r="G956" s="34"/>
    </row>
    <row r="957" ht="15.75" customHeight="1" spans="5:7">
      <c r="E957" s="33"/>
      <c r="G957" s="34"/>
    </row>
    <row r="958" ht="15.75" customHeight="1" spans="5:7">
      <c r="E958" s="33"/>
      <c r="G958" s="34"/>
    </row>
    <row r="959" ht="15.75" customHeight="1" spans="5:7">
      <c r="E959" s="33"/>
      <c r="G959" s="34"/>
    </row>
    <row r="960" ht="15.75" customHeight="1" spans="5:7">
      <c r="E960" s="33"/>
      <c r="G960" s="34"/>
    </row>
    <row r="961" ht="15.75" customHeight="1" spans="5:7">
      <c r="E961" s="33"/>
      <c r="G961" s="34"/>
    </row>
    <row r="962" ht="15.75" customHeight="1" spans="5:7">
      <c r="E962" s="33"/>
      <c r="G962" s="34"/>
    </row>
    <row r="963" ht="15.75" customHeight="1" spans="5:7">
      <c r="E963" s="33"/>
      <c r="G963" s="34"/>
    </row>
    <row r="964" ht="15.75" customHeight="1" spans="5:7">
      <c r="E964" s="33"/>
      <c r="G964" s="34"/>
    </row>
    <row r="965" ht="15.75" customHeight="1" spans="5:7">
      <c r="E965" s="33"/>
      <c r="G965" s="34"/>
    </row>
    <row r="966" ht="15.75" customHeight="1" spans="5:7">
      <c r="E966" s="33"/>
      <c r="G966" s="34"/>
    </row>
    <row r="967" ht="15.75" customHeight="1" spans="5:7">
      <c r="E967" s="33"/>
      <c r="G967" s="34"/>
    </row>
    <row r="968" ht="15.75" customHeight="1" spans="5:7">
      <c r="E968" s="33"/>
      <c r="G968" s="34"/>
    </row>
    <row r="969" ht="15.75" customHeight="1" spans="5:7">
      <c r="E969" s="33"/>
      <c r="G969" s="34"/>
    </row>
    <row r="970" ht="15.75" customHeight="1" spans="5:7">
      <c r="E970" s="33"/>
      <c r="G970" s="34"/>
    </row>
    <row r="971" ht="15.75" customHeight="1" spans="5:7">
      <c r="E971" s="33"/>
      <c r="G971" s="34"/>
    </row>
    <row r="972" ht="15.75" customHeight="1" spans="5:7">
      <c r="E972" s="33"/>
      <c r="G972" s="34"/>
    </row>
    <row r="973" ht="15.75" customHeight="1" spans="5:7">
      <c r="E973" s="33"/>
      <c r="G973" s="34"/>
    </row>
    <row r="974" ht="15.75" customHeight="1" spans="5:7">
      <c r="E974" s="33"/>
      <c r="G974" s="34"/>
    </row>
    <row r="975" ht="15.75" customHeight="1" spans="5:7">
      <c r="E975" s="33"/>
      <c r="G975" s="34"/>
    </row>
    <row r="976" ht="15.75" customHeight="1" spans="5:7">
      <c r="E976" s="33"/>
      <c r="G976" s="34"/>
    </row>
    <row r="977" ht="15.75" customHeight="1" spans="5:7">
      <c r="E977" s="33"/>
      <c r="G977" s="34"/>
    </row>
    <row r="978" ht="15.75" customHeight="1" spans="5:7">
      <c r="E978" s="33"/>
      <c r="G978" s="34"/>
    </row>
    <row r="979" ht="15.75" customHeight="1" spans="5:7">
      <c r="E979" s="33"/>
      <c r="G979" s="34"/>
    </row>
    <row r="980" ht="15.75" customHeight="1" spans="5:7">
      <c r="E980" s="33"/>
      <c r="G980" s="34"/>
    </row>
    <row r="981" ht="15.75" customHeight="1" spans="5:7">
      <c r="E981" s="33"/>
      <c r="G981" s="34"/>
    </row>
    <row r="982" ht="15.75" customHeight="1" spans="5:7">
      <c r="E982" s="33"/>
      <c r="G982" s="34"/>
    </row>
    <row r="983" ht="15.75" customHeight="1" spans="5:7">
      <c r="E983" s="33"/>
      <c r="G983" s="34"/>
    </row>
    <row r="984" ht="15.75" customHeight="1" spans="5:7">
      <c r="E984" s="33"/>
      <c r="G984" s="34"/>
    </row>
    <row r="985" ht="15.75" customHeight="1" spans="5:7">
      <c r="E985" s="33"/>
      <c r="G985" s="34"/>
    </row>
    <row r="986" ht="15.75" customHeight="1" spans="5:7">
      <c r="E986" s="33"/>
      <c r="G986" s="34"/>
    </row>
    <row r="987" ht="15.75" customHeight="1" spans="5:7">
      <c r="E987" s="33"/>
      <c r="G987" s="34"/>
    </row>
    <row r="988" ht="15.75" customHeight="1" spans="5:7">
      <c r="E988" s="33"/>
      <c r="G988" s="34"/>
    </row>
    <row r="989" ht="15.75" customHeight="1" spans="5:7">
      <c r="E989" s="33"/>
      <c r="G989" s="34"/>
    </row>
    <row r="990" ht="15.75" customHeight="1" spans="5:7">
      <c r="E990" s="33"/>
      <c r="G990" s="34"/>
    </row>
    <row r="991" ht="15.75" customHeight="1" spans="5:7">
      <c r="E991" s="33"/>
      <c r="G991" s="34"/>
    </row>
    <row r="992" ht="15.75" customHeight="1" spans="5:7">
      <c r="E992" s="33"/>
      <c r="G992" s="34"/>
    </row>
    <row r="993" ht="15.75" customHeight="1" spans="5:7">
      <c r="E993" s="33"/>
      <c r="G993" s="34"/>
    </row>
    <row r="994" ht="15.75" customHeight="1" spans="5:7">
      <c r="E994" s="33"/>
      <c r="G994" s="34"/>
    </row>
    <row r="995" ht="15.75" customHeight="1" spans="5:7">
      <c r="E995" s="33"/>
      <c r="G995" s="34"/>
    </row>
    <row r="996" ht="15.75" customHeight="1" spans="5:7">
      <c r="E996" s="33"/>
      <c r="G996" s="34"/>
    </row>
    <row r="997" ht="15.75" customHeight="1" spans="5:7">
      <c r="E997" s="33"/>
      <c r="G997" s="34"/>
    </row>
    <row r="998" ht="15.75" customHeight="1" spans="5:7">
      <c r="E998" s="33"/>
      <c r="G998" s="34"/>
    </row>
    <row r="999" ht="15.75" customHeight="1" spans="5:7">
      <c r="E999" s="33"/>
      <c r="G999" s="34"/>
    </row>
    <row r="1000" ht="15.75" customHeight="1" spans="5:7">
      <c r="E1000" s="33"/>
      <c r="G1000" s="34"/>
    </row>
    <row r="1001" customHeight="1" spans="5:7">
      <c r="E1001" s="33"/>
      <c r="G1001" s="34"/>
    </row>
  </sheetData>
  <dataValidations count="2">
    <dataValidation type="list" allowBlank="1" showErrorMessage="1" sqref="I4">
      <formula1>$A$2:$A$21</formula1>
    </dataValidation>
    <dataValidation type="list" allowBlank="1" showErrorMessage="1" sqref="I9">
      <formula1>$B$2:$B$21</formula1>
    </dataValidation>
  </dataValidations>
  <pageMargins left="0.75" right="0.75" top="1" bottom="1" header="0" footer="0"/>
  <pageSetup paperSize="1" orientation="landscape"/>
  <headerFooter/>
  <tableParts count="2">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1"/>
  <sheetViews>
    <sheetView workbookViewId="0">
      <selection activeCell="L15" sqref="L15"/>
    </sheetView>
  </sheetViews>
  <sheetFormatPr defaultColWidth="14.4285714285714" defaultRowHeight="15" customHeight="1"/>
  <cols>
    <col min="1" max="1" width="12" customWidth="1"/>
    <col min="2" max="2" width="12.1428571428571" customWidth="1"/>
    <col min="3" max="4" width="11.7142857142857" customWidth="1"/>
    <col min="5" max="5" width="18.8571428571429" customWidth="1"/>
    <col min="6" max="6" width="13.2857142857143" customWidth="1"/>
    <col min="7" max="7" width="11.4285714285714" customWidth="1"/>
    <col min="8" max="8" width="12.2857142857143" customWidth="1"/>
    <col min="9" max="10" width="8.71428571428571" customWidth="1"/>
    <col min="11" max="11" width="11.1428571428571" customWidth="1"/>
    <col min="12" max="12" width="12" customWidth="1"/>
    <col min="13" max="13" width="10.7142857142857" customWidth="1"/>
    <col min="14" max="14" width="11.8571428571429" customWidth="1"/>
    <col min="15" max="25" width="8.71428571428571" customWidth="1"/>
  </cols>
  <sheetData>
    <row r="1" spans="1:25">
      <c r="A1" s="1" t="s">
        <v>132</v>
      </c>
      <c r="B1" s="1" t="s">
        <v>42</v>
      </c>
      <c r="C1" s="2" t="s">
        <v>133</v>
      </c>
      <c r="D1" s="3" t="s">
        <v>134</v>
      </c>
      <c r="E1" s="4" t="s">
        <v>135</v>
      </c>
      <c r="F1" s="5" t="s">
        <v>136</v>
      </c>
      <c r="G1" s="5" t="s">
        <v>137</v>
      </c>
      <c r="H1" s="5" t="s">
        <v>138</v>
      </c>
      <c r="I1" s="9"/>
      <c r="J1" s="9"/>
      <c r="K1" s="9"/>
      <c r="L1" s="9"/>
      <c r="M1" s="9"/>
      <c r="N1" s="9"/>
      <c r="O1" s="9"/>
      <c r="P1" s="9"/>
      <c r="Q1" s="9"/>
      <c r="R1" s="9"/>
      <c r="S1" s="9"/>
      <c r="T1" s="9"/>
      <c r="U1" s="9"/>
      <c r="V1" s="9"/>
      <c r="W1" s="9"/>
      <c r="X1" s="9"/>
      <c r="Y1" s="9"/>
    </row>
    <row r="2" spans="1:25">
      <c r="A2" s="6">
        <v>3001</v>
      </c>
      <c r="B2" s="6" t="s">
        <v>139</v>
      </c>
      <c r="C2" s="6" t="s">
        <v>140</v>
      </c>
      <c r="D2" s="7">
        <v>86766</v>
      </c>
      <c r="E2" s="8">
        <v>42005</v>
      </c>
      <c r="F2" s="9" t="str">
        <f t="shared" ref="F2:F21" si="0">UPPER(B2)</f>
        <v>EMPLOYEE 1</v>
      </c>
      <c r="G2" s="9" t="str">
        <f t="shared" ref="G2:G21" si="1">LOWER(B2)</f>
        <v>employee 1</v>
      </c>
      <c r="H2" s="9">
        <f ca="1" t="shared" ref="H2:H21" si="2">DATEDIF(E2,TODAY(),"Y")</f>
        <v>10</v>
      </c>
      <c r="I2" s="9"/>
      <c r="J2" s="9"/>
      <c r="K2" s="9"/>
      <c r="L2" s="9"/>
      <c r="M2" s="9"/>
      <c r="N2" s="9"/>
      <c r="O2" s="9"/>
      <c r="P2" s="9"/>
      <c r="Q2" s="9"/>
      <c r="R2" s="9"/>
      <c r="S2" s="9"/>
      <c r="T2" s="9"/>
      <c r="U2" s="9"/>
      <c r="V2" s="9"/>
      <c r="W2" s="9"/>
      <c r="X2" s="9"/>
      <c r="Y2" s="9"/>
    </row>
    <row r="3" spans="1:25">
      <c r="A3" s="6">
        <v>3002</v>
      </c>
      <c r="B3" s="6" t="s">
        <v>141</v>
      </c>
      <c r="C3" s="6" t="s">
        <v>140</v>
      </c>
      <c r="D3" s="7">
        <v>31943</v>
      </c>
      <c r="E3" s="8">
        <v>42255</v>
      </c>
      <c r="F3" s="9" t="str">
        <f t="shared" si="0"/>
        <v>EMPLOYEE 2</v>
      </c>
      <c r="G3" s="9" t="str">
        <f t="shared" si="1"/>
        <v>employee 2</v>
      </c>
      <c r="H3" s="9">
        <f ca="1" t="shared" si="2"/>
        <v>10</v>
      </c>
      <c r="I3" s="9"/>
      <c r="J3" s="9"/>
      <c r="K3" s="9"/>
      <c r="L3" s="11" t="s">
        <v>142</v>
      </c>
      <c r="M3" s="12" t="s">
        <v>134</v>
      </c>
      <c r="N3" s="9"/>
      <c r="O3" s="9"/>
      <c r="P3" s="9"/>
      <c r="Q3" s="9"/>
      <c r="R3" s="9"/>
      <c r="S3" s="9"/>
      <c r="T3" s="9"/>
      <c r="U3" s="9"/>
      <c r="V3" s="9"/>
      <c r="W3" s="9"/>
      <c r="X3" s="9"/>
      <c r="Y3" s="9"/>
    </row>
    <row r="4" spans="1:25">
      <c r="A4" s="6">
        <v>3003</v>
      </c>
      <c r="B4" s="6" t="s">
        <v>143</v>
      </c>
      <c r="C4" s="6" t="s">
        <v>144</v>
      </c>
      <c r="D4" s="7">
        <v>63374</v>
      </c>
      <c r="E4" s="8">
        <v>42505</v>
      </c>
      <c r="F4" s="9" t="str">
        <f t="shared" si="0"/>
        <v>EMPLOYEE 3</v>
      </c>
      <c r="G4" s="9" t="str">
        <f t="shared" si="1"/>
        <v>employee 3</v>
      </c>
      <c r="H4" s="9">
        <f ca="1" t="shared" si="2"/>
        <v>9</v>
      </c>
      <c r="I4" s="9"/>
      <c r="J4" s="9"/>
      <c r="K4" s="9"/>
      <c r="L4" s="9">
        <v>3002</v>
      </c>
      <c r="M4" s="10">
        <f t="array" ref="M4">_xlfn.XLOOKUP(L4,A2:A21,D2:D21,,0)</f>
        <v>31943</v>
      </c>
      <c r="N4" s="9"/>
      <c r="O4" s="9"/>
      <c r="P4" s="9"/>
      <c r="Q4" s="9"/>
      <c r="R4" s="9"/>
      <c r="S4" s="9"/>
      <c r="T4" s="9"/>
      <c r="U4" s="9"/>
      <c r="V4" s="9"/>
      <c r="W4" s="9"/>
      <c r="X4" s="9"/>
      <c r="Y4" s="9"/>
    </row>
    <row r="5" spans="1:25">
      <c r="A5" s="6">
        <v>3004</v>
      </c>
      <c r="B5" s="6" t="s">
        <v>145</v>
      </c>
      <c r="C5" s="6" t="s">
        <v>140</v>
      </c>
      <c r="D5" s="7">
        <v>109972</v>
      </c>
      <c r="E5" s="8">
        <v>42755</v>
      </c>
      <c r="F5" s="9" t="str">
        <f t="shared" si="0"/>
        <v>EMPLOYEE 4</v>
      </c>
      <c r="G5" s="9" t="str">
        <f t="shared" si="1"/>
        <v>employee 4</v>
      </c>
      <c r="H5" s="9">
        <f ca="1" t="shared" si="2"/>
        <v>8</v>
      </c>
      <c r="I5" s="9"/>
      <c r="J5" s="9"/>
      <c r="K5" s="9"/>
      <c r="L5" s="9"/>
      <c r="M5" s="9"/>
      <c r="N5" s="9"/>
      <c r="O5" s="9"/>
      <c r="P5" s="9"/>
      <c r="Q5" s="9"/>
      <c r="R5" s="9"/>
      <c r="S5" s="9"/>
      <c r="T5" s="9"/>
      <c r="U5" s="9"/>
      <c r="V5" s="9"/>
      <c r="W5" s="9"/>
      <c r="X5" s="9"/>
      <c r="Y5" s="9"/>
    </row>
    <row r="6" spans="1:25">
      <c r="A6" s="6">
        <v>3005</v>
      </c>
      <c r="B6" s="6" t="s">
        <v>146</v>
      </c>
      <c r="C6" s="6" t="s">
        <v>147</v>
      </c>
      <c r="D6" s="7">
        <v>54149</v>
      </c>
      <c r="E6" s="8">
        <v>43005</v>
      </c>
      <c r="F6" s="9" t="str">
        <f t="shared" si="0"/>
        <v>EMPLOYEE 5</v>
      </c>
      <c r="G6" s="9" t="str">
        <f t="shared" si="1"/>
        <v>employee 5</v>
      </c>
      <c r="H6" s="9">
        <f ca="1" t="shared" si="2"/>
        <v>8</v>
      </c>
      <c r="I6" s="9"/>
      <c r="J6" s="9"/>
      <c r="K6" s="9"/>
      <c r="L6" s="9"/>
      <c r="M6" s="9"/>
      <c r="N6" s="9"/>
      <c r="O6" s="9"/>
      <c r="P6" s="9"/>
      <c r="Q6" s="9"/>
      <c r="R6" s="9"/>
      <c r="S6" s="9"/>
      <c r="T6" s="9"/>
      <c r="U6" s="9"/>
      <c r="V6" s="9"/>
      <c r="W6" s="9"/>
      <c r="X6" s="9"/>
      <c r="Y6" s="9"/>
    </row>
    <row r="7" spans="1:25">
      <c r="A7" s="6">
        <v>3006</v>
      </c>
      <c r="B7" s="6" t="s">
        <v>148</v>
      </c>
      <c r="C7" s="6" t="s">
        <v>147</v>
      </c>
      <c r="D7" s="7">
        <v>78689</v>
      </c>
      <c r="E7" s="8">
        <v>43255</v>
      </c>
      <c r="F7" s="9" t="str">
        <f t="shared" si="0"/>
        <v>EMPLOYEE 6</v>
      </c>
      <c r="G7" s="9" t="str">
        <f t="shared" si="1"/>
        <v>employee 6</v>
      </c>
      <c r="H7" s="9">
        <f ca="1" t="shared" si="2"/>
        <v>7</v>
      </c>
      <c r="I7" s="9"/>
      <c r="J7" s="9"/>
      <c r="K7" s="9"/>
      <c r="L7" s="9"/>
      <c r="M7" s="9"/>
      <c r="N7" s="9"/>
      <c r="O7" s="9"/>
      <c r="P7" s="9"/>
      <c r="Q7" s="9"/>
      <c r="R7" s="9"/>
      <c r="S7" s="9"/>
      <c r="T7" s="9"/>
      <c r="U7" s="9"/>
      <c r="V7" s="9"/>
      <c r="W7" s="9"/>
      <c r="X7" s="9"/>
      <c r="Y7" s="9"/>
    </row>
    <row r="8" spans="1:25">
      <c r="A8" s="6">
        <v>3007</v>
      </c>
      <c r="B8" s="6" t="s">
        <v>149</v>
      </c>
      <c r="C8" s="6" t="s">
        <v>150</v>
      </c>
      <c r="D8" s="7">
        <v>35960</v>
      </c>
      <c r="E8" s="8">
        <v>43505</v>
      </c>
      <c r="F8" s="9" t="str">
        <f t="shared" si="0"/>
        <v>EMPLOYEE 7</v>
      </c>
      <c r="G8" s="9" t="str">
        <f t="shared" si="1"/>
        <v>employee 7</v>
      </c>
      <c r="H8" s="9">
        <f ca="1" t="shared" si="2"/>
        <v>6</v>
      </c>
      <c r="I8" s="9"/>
      <c r="J8" s="9"/>
      <c r="K8" s="9"/>
      <c r="L8" s="9"/>
      <c r="M8" s="9"/>
      <c r="N8" s="9"/>
      <c r="O8" s="9"/>
      <c r="P8" s="9"/>
      <c r="Q8" s="9"/>
      <c r="R8" s="9"/>
      <c r="S8" s="9"/>
      <c r="T8" s="9"/>
      <c r="U8" s="9"/>
      <c r="V8" s="9"/>
      <c r="W8" s="9"/>
      <c r="X8" s="9"/>
      <c r="Y8" s="9"/>
    </row>
    <row r="9" spans="1:25">
      <c r="A9" s="6">
        <v>3008</v>
      </c>
      <c r="B9" s="6" t="s">
        <v>151</v>
      </c>
      <c r="C9" s="6" t="s">
        <v>147</v>
      </c>
      <c r="D9" s="7">
        <v>91659</v>
      </c>
      <c r="E9" s="8">
        <v>43755</v>
      </c>
      <c r="F9" s="9" t="str">
        <f t="shared" si="0"/>
        <v>EMPLOYEE 8</v>
      </c>
      <c r="G9" s="9" t="str">
        <f t="shared" si="1"/>
        <v>employee 8</v>
      </c>
      <c r="H9" s="9">
        <f ca="1" t="shared" si="2"/>
        <v>5</v>
      </c>
      <c r="I9" s="9"/>
      <c r="J9" s="13"/>
      <c r="K9" s="13"/>
      <c r="L9" s="14" t="s">
        <v>152</v>
      </c>
      <c r="M9" s="13"/>
      <c r="N9" s="13"/>
      <c r="O9" s="9"/>
      <c r="P9" s="9"/>
      <c r="Q9" s="9"/>
      <c r="R9" s="9"/>
      <c r="S9" s="9"/>
      <c r="T9" s="9"/>
      <c r="U9" s="9"/>
      <c r="V9" s="9"/>
      <c r="W9" s="9"/>
      <c r="X9" s="9"/>
      <c r="Y9" s="9"/>
    </row>
    <row r="10" spans="1:25">
      <c r="A10" s="6">
        <v>3009</v>
      </c>
      <c r="B10" s="6" t="s">
        <v>153</v>
      </c>
      <c r="C10" s="6" t="s">
        <v>147</v>
      </c>
      <c r="D10" s="7">
        <v>90423</v>
      </c>
      <c r="E10" s="8">
        <v>44005</v>
      </c>
      <c r="F10" s="9" t="str">
        <f t="shared" si="0"/>
        <v>EMPLOYEE 9</v>
      </c>
      <c r="G10" s="9" t="str">
        <f t="shared" si="1"/>
        <v>employee 9</v>
      </c>
      <c r="H10" s="9">
        <f ca="1" t="shared" si="2"/>
        <v>5</v>
      </c>
      <c r="I10" s="9"/>
      <c r="J10" s="9"/>
      <c r="K10" s="9"/>
      <c r="L10" s="9"/>
      <c r="M10" s="9"/>
      <c r="N10" s="9"/>
      <c r="O10" s="9"/>
      <c r="P10" s="9"/>
      <c r="Q10" s="9"/>
      <c r="R10" s="9"/>
      <c r="S10" s="9"/>
      <c r="T10" s="9"/>
      <c r="U10" s="9"/>
      <c r="V10" s="9"/>
      <c r="W10" s="9"/>
      <c r="X10" s="9"/>
      <c r="Y10" s="9"/>
    </row>
    <row r="11" spans="1:25">
      <c r="A11" s="6">
        <v>3010</v>
      </c>
      <c r="B11" s="6" t="s">
        <v>154</v>
      </c>
      <c r="C11" s="6" t="s">
        <v>144</v>
      </c>
      <c r="D11" s="7">
        <v>107877</v>
      </c>
      <c r="E11" s="8">
        <v>44255</v>
      </c>
      <c r="F11" s="9" t="str">
        <f t="shared" si="0"/>
        <v>EMPLOYEE 10</v>
      </c>
      <c r="G11" s="9" t="str">
        <f t="shared" si="1"/>
        <v>employee 10</v>
      </c>
      <c r="H11" s="9">
        <f ca="1" t="shared" si="2"/>
        <v>4</v>
      </c>
      <c r="I11" s="9"/>
      <c r="J11" s="9"/>
      <c r="K11" s="9"/>
      <c r="L11" s="9"/>
      <c r="M11" s="9"/>
      <c r="N11" s="9"/>
      <c r="O11" s="9"/>
      <c r="P11" s="9"/>
      <c r="Q11" s="9"/>
      <c r="R11" s="9"/>
      <c r="S11" s="9"/>
      <c r="T11" s="9"/>
      <c r="U11" s="9"/>
      <c r="V11" s="9"/>
      <c r="W11" s="9"/>
      <c r="X11" s="9"/>
      <c r="Y11" s="9"/>
    </row>
    <row r="12" spans="1:25">
      <c r="A12" s="6">
        <v>3011</v>
      </c>
      <c r="B12" s="6" t="s">
        <v>155</v>
      </c>
      <c r="C12" s="6" t="s">
        <v>140</v>
      </c>
      <c r="D12" s="7">
        <v>107634</v>
      </c>
      <c r="E12" s="8">
        <v>44505</v>
      </c>
      <c r="F12" s="9" t="str">
        <f t="shared" si="0"/>
        <v>EMPLOYEE 11</v>
      </c>
      <c r="G12" s="9" t="str">
        <f t="shared" si="1"/>
        <v>employee 11</v>
      </c>
      <c r="H12" s="9">
        <f ca="1" t="shared" si="2"/>
        <v>3</v>
      </c>
      <c r="I12" s="9"/>
      <c r="J12" s="9"/>
      <c r="K12" s="9"/>
      <c r="L12" s="9"/>
      <c r="M12" s="9"/>
      <c r="N12" s="9"/>
      <c r="O12" s="9"/>
      <c r="P12" s="9"/>
      <c r="Q12" s="9"/>
      <c r="R12" s="9"/>
      <c r="S12" s="9"/>
      <c r="T12" s="9"/>
      <c r="U12" s="9"/>
      <c r="V12" s="9"/>
      <c r="W12" s="9"/>
      <c r="X12" s="9"/>
      <c r="Y12" s="9"/>
    </row>
    <row r="13" spans="1:25">
      <c r="A13" s="6">
        <v>3012</v>
      </c>
      <c r="B13" s="6" t="s">
        <v>156</v>
      </c>
      <c r="C13" s="6" t="s">
        <v>140</v>
      </c>
      <c r="D13" s="7">
        <v>35226</v>
      </c>
      <c r="E13" s="8">
        <v>44755</v>
      </c>
      <c r="F13" s="9" t="str">
        <f t="shared" si="0"/>
        <v>EMPLOYEE 12</v>
      </c>
      <c r="G13" s="9" t="str">
        <f t="shared" si="1"/>
        <v>employee 12</v>
      </c>
      <c r="H13" s="9">
        <f ca="1" t="shared" si="2"/>
        <v>3</v>
      </c>
      <c r="I13" s="9"/>
      <c r="J13" s="15"/>
      <c r="K13" s="9"/>
      <c r="L13" s="9"/>
      <c r="M13" s="9"/>
      <c r="N13" s="9"/>
      <c r="O13" s="9"/>
      <c r="P13" s="9"/>
      <c r="Q13" s="9"/>
      <c r="R13" s="9"/>
      <c r="S13" s="9"/>
      <c r="T13" s="9"/>
      <c r="U13" s="9"/>
      <c r="V13" s="9"/>
      <c r="W13" s="9"/>
      <c r="X13" s="9"/>
      <c r="Y13" s="9"/>
    </row>
    <row r="14" spans="1:25">
      <c r="A14" s="6">
        <v>3013</v>
      </c>
      <c r="B14" s="6" t="s">
        <v>157</v>
      </c>
      <c r="C14" s="6" t="s">
        <v>144</v>
      </c>
      <c r="D14" s="7">
        <v>40872</v>
      </c>
      <c r="E14" s="8">
        <v>45005</v>
      </c>
      <c r="F14" s="9" t="str">
        <f t="shared" si="0"/>
        <v>EMPLOYEE 13</v>
      </c>
      <c r="G14" s="9" t="str">
        <f t="shared" si="1"/>
        <v>employee 13</v>
      </c>
      <c r="H14" s="9">
        <f ca="1" t="shared" si="2"/>
        <v>2</v>
      </c>
      <c r="I14" s="9"/>
      <c r="J14" s="9"/>
      <c r="K14" s="9"/>
      <c r="L14" s="9"/>
      <c r="M14" s="9"/>
      <c r="N14" s="9"/>
      <c r="O14" s="9"/>
      <c r="P14" s="9"/>
      <c r="Q14" s="9"/>
      <c r="R14" s="9"/>
      <c r="S14" s="9"/>
      <c r="T14" s="9"/>
      <c r="U14" s="9"/>
      <c r="V14" s="9"/>
      <c r="W14" s="9"/>
      <c r="X14" s="9"/>
      <c r="Y14" s="9"/>
    </row>
    <row r="15" spans="1:25">
      <c r="A15" s="6">
        <v>3014</v>
      </c>
      <c r="B15" s="6" t="s">
        <v>158</v>
      </c>
      <c r="C15" s="6" t="s">
        <v>144</v>
      </c>
      <c r="D15" s="7">
        <v>55378</v>
      </c>
      <c r="E15" s="8">
        <v>45255</v>
      </c>
      <c r="F15" s="9" t="str">
        <f t="shared" si="0"/>
        <v>EMPLOYEE 14</v>
      </c>
      <c r="G15" s="9" t="str">
        <f t="shared" si="1"/>
        <v>employee 14</v>
      </c>
      <c r="H15" s="9">
        <f ca="1" t="shared" si="2"/>
        <v>1</v>
      </c>
      <c r="I15" s="9"/>
      <c r="J15" s="9"/>
      <c r="K15" s="16" t="s">
        <v>159</v>
      </c>
      <c r="L15" s="16" t="s">
        <v>160</v>
      </c>
      <c r="M15" s="9"/>
      <c r="N15" s="9"/>
      <c r="O15" s="9"/>
      <c r="P15" s="9"/>
      <c r="Q15" s="9"/>
      <c r="R15" s="9"/>
      <c r="S15" s="9"/>
      <c r="T15" s="9"/>
      <c r="U15" s="9"/>
      <c r="V15" s="9"/>
      <c r="W15" s="9"/>
      <c r="X15" s="9"/>
      <c r="Y15" s="9"/>
    </row>
    <row r="16" spans="1:25">
      <c r="A16" s="6">
        <v>3015</v>
      </c>
      <c r="B16" s="6" t="s">
        <v>161</v>
      </c>
      <c r="C16" s="6" t="s">
        <v>144</v>
      </c>
      <c r="D16" s="7">
        <v>63297</v>
      </c>
      <c r="E16" s="8">
        <v>45505</v>
      </c>
      <c r="F16" s="9" t="str">
        <f t="shared" si="0"/>
        <v>EMPLOYEE 15</v>
      </c>
      <c r="G16" s="9" t="str">
        <f t="shared" si="1"/>
        <v>employee 15</v>
      </c>
      <c r="H16" s="9">
        <f ca="1" t="shared" si="2"/>
        <v>1</v>
      </c>
      <c r="I16" s="9"/>
      <c r="J16" s="9"/>
      <c r="K16" s="9" t="s">
        <v>162</v>
      </c>
      <c r="L16" s="9" t="str">
        <f ca="1" t="array" ref="L16">INDIRECT(K16)</f>
        <v>Finance</v>
      </c>
      <c r="M16" s="9"/>
      <c r="N16" s="9"/>
      <c r="O16" s="9"/>
      <c r="P16" s="9"/>
      <c r="Q16" s="9"/>
      <c r="R16" s="9"/>
      <c r="S16" s="9"/>
      <c r="T16" s="9"/>
      <c r="U16" s="9"/>
      <c r="V16" s="9"/>
      <c r="W16" s="9"/>
      <c r="X16" s="9"/>
      <c r="Y16" s="9"/>
    </row>
    <row r="17" spans="1:25">
      <c r="A17" s="6">
        <v>3016</v>
      </c>
      <c r="B17" s="6" t="s">
        <v>163</v>
      </c>
      <c r="C17" s="6" t="s">
        <v>140</v>
      </c>
      <c r="D17" s="7">
        <v>114173</v>
      </c>
      <c r="E17" s="8">
        <v>45390</v>
      </c>
      <c r="F17" s="9" t="str">
        <f t="shared" si="0"/>
        <v>EMPLOYEE 16</v>
      </c>
      <c r="G17" s="9" t="str">
        <f t="shared" si="1"/>
        <v>employee 16</v>
      </c>
      <c r="H17" s="9">
        <f ca="1" t="shared" si="2"/>
        <v>1</v>
      </c>
      <c r="I17" s="9"/>
      <c r="J17" s="9"/>
      <c r="K17" s="9"/>
      <c r="L17" s="9"/>
      <c r="M17" s="9"/>
      <c r="N17" s="9"/>
      <c r="O17" s="9"/>
      <c r="P17" s="9"/>
      <c r="Q17" s="9"/>
      <c r="R17" s="9"/>
      <c r="S17" s="9"/>
      <c r="T17" s="9"/>
      <c r="U17" s="9"/>
      <c r="V17" s="9"/>
      <c r="W17" s="9"/>
      <c r="X17" s="9"/>
      <c r="Y17" s="9"/>
    </row>
    <row r="18" spans="1:25">
      <c r="A18" s="6">
        <v>3017</v>
      </c>
      <c r="B18" s="6" t="s">
        <v>164</v>
      </c>
      <c r="C18" s="6" t="s">
        <v>144</v>
      </c>
      <c r="D18" s="7">
        <v>86915</v>
      </c>
      <c r="E18" s="8">
        <v>45822</v>
      </c>
      <c r="F18" s="9" t="str">
        <f t="shared" si="0"/>
        <v>EMPLOYEE 17</v>
      </c>
      <c r="G18" s="9" t="str">
        <f t="shared" si="1"/>
        <v>employee 17</v>
      </c>
      <c r="H18" s="9">
        <f ca="1" t="shared" si="2"/>
        <v>0</v>
      </c>
      <c r="I18" s="9"/>
      <c r="J18" s="9"/>
      <c r="K18" s="9"/>
      <c r="L18" s="9"/>
      <c r="M18" s="9"/>
      <c r="N18" s="9"/>
      <c r="O18" s="9"/>
      <c r="P18" s="9"/>
      <c r="Q18" s="9"/>
      <c r="R18" s="9"/>
      <c r="S18" s="9"/>
      <c r="T18" s="9"/>
      <c r="U18" s="9"/>
      <c r="V18" s="9"/>
      <c r="W18" s="9"/>
      <c r="X18" s="9"/>
      <c r="Y18" s="9"/>
    </row>
    <row r="19" spans="1:25">
      <c r="A19" s="6">
        <v>3018</v>
      </c>
      <c r="B19" s="6" t="s">
        <v>165</v>
      </c>
      <c r="C19" s="6" t="s">
        <v>147</v>
      </c>
      <c r="D19" s="7">
        <v>116284</v>
      </c>
      <c r="E19" s="8">
        <v>45890</v>
      </c>
      <c r="F19" s="9" t="str">
        <f t="shared" si="0"/>
        <v>EMPLOYEE 18</v>
      </c>
      <c r="G19" s="9" t="str">
        <f t="shared" si="1"/>
        <v>employee 18</v>
      </c>
      <c r="H19" s="9">
        <f ca="1" t="shared" si="2"/>
        <v>0</v>
      </c>
      <c r="I19" s="9"/>
      <c r="J19" s="9"/>
      <c r="K19" s="9"/>
      <c r="L19" s="9"/>
      <c r="M19" s="9"/>
      <c r="N19" s="9"/>
      <c r="O19" s="9"/>
      <c r="P19" s="9"/>
      <c r="Q19" s="9"/>
      <c r="R19" s="9"/>
      <c r="S19" s="9"/>
      <c r="T19" s="9"/>
      <c r="U19" s="9"/>
      <c r="V19" s="9"/>
      <c r="W19" s="9"/>
      <c r="X19" s="9"/>
      <c r="Y19" s="9"/>
    </row>
    <row r="20" spans="1:25">
      <c r="A20" s="6">
        <v>3019</v>
      </c>
      <c r="B20" s="6" t="s">
        <v>166</v>
      </c>
      <c r="C20" s="6" t="s">
        <v>150</v>
      </c>
      <c r="D20" s="7">
        <v>116283</v>
      </c>
      <c r="E20" s="8">
        <v>45775</v>
      </c>
      <c r="F20" s="9" t="str">
        <f t="shared" si="0"/>
        <v>EMPLOYEE 19</v>
      </c>
      <c r="G20" s="9" t="str">
        <f t="shared" si="1"/>
        <v>employee 19</v>
      </c>
      <c r="H20" s="9">
        <f ca="1" t="shared" si="2"/>
        <v>0</v>
      </c>
      <c r="I20" s="9"/>
      <c r="J20" s="9"/>
      <c r="K20" s="9"/>
      <c r="L20" s="9"/>
      <c r="M20" s="9"/>
      <c r="N20" s="9"/>
      <c r="O20" s="9"/>
      <c r="P20" s="9"/>
      <c r="Q20" s="9"/>
      <c r="R20" s="9"/>
      <c r="S20" s="9"/>
      <c r="T20" s="9"/>
      <c r="U20" s="9"/>
      <c r="V20" s="9"/>
      <c r="W20" s="9"/>
      <c r="X20" s="9"/>
      <c r="Y20" s="9"/>
    </row>
    <row r="21" ht="15.75" customHeight="1" spans="1:25">
      <c r="A21" s="6">
        <v>3020</v>
      </c>
      <c r="B21" s="6" t="s">
        <v>167</v>
      </c>
      <c r="C21" s="6" t="s">
        <v>150</v>
      </c>
      <c r="D21" s="7">
        <v>99924</v>
      </c>
      <c r="E21" s="8">
        <v>45660</v>
      </c>
      <c r="F21" s="9" t="str">
        <f t="shared" si="0"/>
        <v>EMPLOYEE 20</v>
      </c>
      <c r="G21" s="9" t="str">
        <f t="shared" si="1"/>
        <v>employee 20</v>
      </c>
      <c r="H21" s="9">
        <f ca="1" t="shared" si="2"/>
        <v>0</v>
      </c>
      <c r="I21" s="9"/>
      <c r="J21" s="9"/>
      <c r="K21" s="9"/>
      <c r="L21" s="9"/>
      <c r="M21" s="9"/>
      <c r="N21" s="9"/>
      <c r="O21" s="9"/>
      <c r="P21" s="9"/>
      <c r="Q21" s="9"/>
      <c r="R21" s="9"/>
      <c r="S21" s="9"/>
      <c r="T21" s="9"/>
      <c r="U21" s="9"/>
      <c r="V21" s="9"/>
      <c r="W21" s="9"/>
      <c r="X21" s="9"/>
      <c r="Y21" s="9"/>
    </row>
    <row r="22" ht="15.75" customHeight="1" spans="1:25">
      <c r="A22" t="s">
        <v>75</v>
      </c>
      <c r="H22">
        <f ca="1">SUBTOTAL(109,Table4[Join in Years])</f>
        <v>83</v>
      </c>
      <c r="I22" s="9"/>
      <c r="J22" s="9"/>
      <c r="K22" s="9"/>
      <c r="L22" s="9"/>
      <c r="M22" s="9"/>
      <c r="N22" s="9"/>
      <c r="O22" s="9"/>
      <c r="P22" s="9"/>
      <c r="Q22" s="9"/>
      <c r="R22" s="9"/>
      <c r="S22" s="9"/>
      <c r="T22" s="9"/>
      <c r="U22" s="9"/>
      <c r="V22" s="9"/>
      <c r="W22" s="9"/>
      <c r="X22" s="9"/>
      <c r="Y22" s="9"/>
    </row>
    <row r="23" ht="15.75" customHeight="1" spans="1:25">
      <c r="A23" s="9"/>
      <c r="B23" s="9"/>
      <c r="C23" s="9"/>
      <c r="D23" s="10"/>
      <c r="E23" s="9"/>
      <c r="F23" s="9"/>
      <c r="G23" s="9"/>
      <c r="H23" s="9"/>
      <c r="I23" s="9"/>
      <c r="J23" s="9"/>
      <c r="K23" s="9"/>
      <c r="L23" s="9"/>
      <c r="M23" s="9"/>
      <c r="N23" s="9"/>
      <c r="O23" s="9"/>
      <c r="P23" s="9"/>
      <c r="Q23" s="9"/>
      <c r="R23" s="9"/>
      <c r="S23" s="9"/>
      <c r="T23" s="9"/>
      <c r="U23" s="9"/>
      <c r="V23" s="9"/>
      <c r="W23" s="9"/>
      <c r="X23" s="9"/>
      <c r="Y23" s="9"/>
    </row>
    <row r="24" ht="15.75" customHeight="1" spans="1:25">
      <c r="A24" s="9"/>
      <c r="B24" s="9"/>
      <c r="C24" s="9"/>
      <c r="D24" s="10"/>
      <c r="E24" s="9"/>
      <c r="F24" s="9"/>
      <c r="G24" s="9"/>
      <c r="H24" s="9"/>
      <c r="I24" s="9"/>
      <c r="J24" s="9"/>
      <c r="K24" s="9"/>
      <c r="L24" s="9"/>
      <c r="M24" s="9"/>
      <c r="N24" s="9"/>
      <c r="O24" s="9"/>
      <c r="P24" s="9"/>
      <c r="Q24" s="9"/>
      <c r="R24" s="9"/>
      <c r="S24" s="9"/>
      <c r="T24" s="9"/>
      <c r="U24" s="9"/>
      <c r="V24" s="9"/>
      <c r="W24" s="9"/>
      <c r="X24" s="9"/>
      <c r="Y24" s="9"/>
    </row>
    <row r="25" ht="15.75" customHeight="1" spans="1:25">
      <c r="A25" s="9"/>
      <c r="B25" s="9"/>
      <c r="C25" s="9"/>
      <c r="D25" s="10"/>
      <c r="E25" s="9"/>
      <c r="F25" s="9"/>
      <c r="G25" s="9"/>
      <c r="H25" s="9"/>
      <c r="I25" s="9"/>
      <c r="J25" s="9"/>
      <c r="K25" s="9"/>
      <c r="L25" s="9"/>
      <c r="M25" s="9"/>
      <c r="N25" s="9"/>
      <c r="O25" s="9"/>
      <c r="P25" s="9"/>
      <c r="Q25" s="9"/>
      <c r="R25" s="9"/>
      <c r="S25" s="9"/>
      <c r="T25" s="9"/>
      <c r="U25" s="9"/>
      <c r="V25" s="9"/>
      <c r="W25" s="9"/>
      <c r="X25" s="9"/>
      <c r="Y25" s="9"/>
    </row>
    <row r="26" ht="15.75" customHeight="1" spans="1:25">
      <c r="A26" s="9"/>
      <c r="B26" s="9"/>
      <c r="C26" s="9"/>
      <c r="D26" s="10"/>
      <c r="E26" s="9"/>
      <c r="F26" s="9"/>
      <c r="G26" s="9"/>
      <c r="H26" s="9"/>
      <c r="I26" s="9"/>
      <c r="J26" s="9"/>
      <c r="K26" s="9"/>
      <c r="L26" s="9"/>
      <c r="M26" s="9"/>
      <c r="N26" s="9"/>
      <c r="O26" s="9"/>
      <c r="P26" s="9"/>
      <c r="Q26" s="9"/>
      <c r="R26" s="9"/>
      <c r="S26" s="9"/>
      <c r="T26" s="9"/>
      <c r="U26" s="9"/>
      <c r="V26" s="9"/>
      <c r="W26" s="9"/>
      <c r="X26" s="9"/>
      <c r="Y26" s="9"/>
    </row>
    <row r="27" ht="15.75" customHeight="1" spans="1:25">
      <c r="A27" s="9"/>
      <c r="B27" s="9"/>
      <c r="C27" s="9"/>
      <c r="D27" s="10"/>
      <c r="E27" s="9"/>
      <c r="F27" s="9"/>
      <c r="G27" s="9"/>
      <c r="H27" s="9"/>
      <c r="I27" s="9"/>
      <c r="J27" s="9"/>
      <c r="K27" s="9"/>
      <c r="L27" s="9"/>
      <c r="M27" s="9"/>
      <c r="N27" s="9"/>
      <c r="O27" s="9"/>
      <c r="P27" s="9"/>
      <c r="Q27" s="9"/>
      <c r="R27" s="9"/>
      <c r="S27" s="9"/>
      <c r="T27" s="9"/>
      <c r="U27" s="9"/>
      <c r="V27" s="9"/>
      <c r="W27" s="9"/>
      <c r="X27" s="9"/>
      <c r="Y27" s="9"/>
    </row>
    <row r="28" ht="15.75" customHeight="1" spans="1:25">
      <c r="A28" s="9"/>
      <c r="B28" s="9"/>
      <c r="C28" s="9"/>
      <c r="D28" s="10"/>
      <c r="E28" s="9"/>
      <c r="F28" s="9"/>
      <c r="G28" s="9"/>
      <c r="H28" s="9"/>
      <c r="I28" s="9"/>
      <c r="J28" s="9"/>
      <c r="K28" s="9"/>
      <c r="L28" s="9"/>
      <c r="M28" s="9"/>
      <c r="N28" s="9"/>
      <c r="O28" s="9"/>
      <c r="P28" s="9"/>
      <c r="Q28" s="9"/>
      <c r="R28" s="9"/>
      <c r="S28" s="9"/>
      <c r="T28" s="9"/>
      <c r="U28" s="9"/>
      <c r="V28" s="9"/>
      <c r="W28" s="9"/>
      <c r="X28" s="9"/>
      <c r="Y28" s="9"/>
    </row>
    <row r="29" ht="15.75" customHeight="1" spans="1:25">
      <c r="A29" s="9"/>
      <c r="B29" s="9"/>
      <c r="C29" s="9"/>
      <c r="D29" s="10"/>
      <c r="E29" s="9"/>
      <c r="F29" s="9"/>
      <c r="G29" s="9"/>
      <c r="H29" s="9"/>
      <c r="I29" s="9"/>
      <c r="J29" s="9"/>
      <c r="K29" s="9"/>
      <c r="L29" s="9"/>
      <c r="M29" s="9"/>
      <c r="N29" s="9"/>
      <c r="O29" s="9"/>
      <c r="P29" s="9"/>
      <c r="Q29" s="9"/>
      <c r="R29" s="9"/>
      <c r="S29" s="9"/>
      <c r="T29" s="9"/>
      <c r="U29" s="9"/>
      <c r="V29" s="9"/>
      <c r="W29" s="9"/>
      <c r="X29" s="9"/>
      <c r="Y29" s="9"/>
    </row>
    <row r="30" ht="15.75" customHeight="1" spans="1:25">
      <c r="A30" s="9"/>
      <c r="B30" s="9"/>
      <c r="C30" s="9"/>
      <c r="D30" s="10"/>
      <c r="E30" s="9"/>
      <c r="F30" s="9"/>
      <c r="G30" s="9"/>
      <c r="H30" s="9"/>
      <c r="I30" s="9"/>
      <c r="J30" s="9"/>
      <c r="K30" s="9"/>
      <c r="L30" s="9"/>
      <c r="M30" s="9"/>
      <c r="N30" s="9"/>
      <c r="O30" s="9"/>
      <c r="P30" s="9"/>
      <c r="Q30" s="9"/>
      <c r="R30" s="9"/>
      <c r="S30" s="9"/>
      <c r="T30" s="9"/>
      <c r="U30" s="9"/>
      <c r="V30" s="9"/>
      <c r="W30" s="9"/>
      <c r="X30" s="9"/>
      <c r="Y30" s="9"/>
    </row>
    <row r="31" ht="15.75" customHeight="1" spans="1:25">
      <c r="A31" s="9"/>
      <c r="B31" s="9"/>
      <c r="C31" s="9"/>
      <c r="D31" s="10"/>
      <c r="E31" s="9"/>
      <c r="F31" s="9"/>
      <c r="G31" s="9"/>
      <c r="H31" s="9"/>
      <c r="I31" s="9"/>
      <c r="J31" s="9"/>
      <c r="K31" s="9"/>
      <c r="L31" s="9"/>
      <c r="M31" s="9"/>
      <c r="N31" s="9"/>
      <c r="O31" s="9"/>
      <c r="P31" s="9"/>
      <c r="Q31" s="9"/>
      <c r="R31" s="9"/>
      <c r="S31" s="9"/>
      <c r="T31" s="9"/>
      <c r="U31" s="9"/>
      <c r="V31" s="9"/>
      <c r="W31" s="9"/>
      <c r="X31" s="9"/>
      <c r="Y31" s="9"/>
    </row>
    <row r="32" ht="15.75" customHeight="1" spans="1:25">
      <c r="A32" s="9"/>
      <c r="B32" s="9"/>
      <c r="C32" s="9"/>
      <c r="D32" s="10"/>
      <c r="E32" s="9"/>
      <c r="F32" s="9"/>
      <c r="G32" s="9"/>
      <c r="H32" s="9"/>
      <c r="I32" s="9"/>
      <c r="J32" s="9"/>
      <c r="K32" s="9"/>
      <c r="L32" s="9"/>
      <c r="M32" s="9"/>
      <c r="N32" s="9"/>
      <c r="O32" s="9"/>
      <c r="P32" s="9"/>
      <c r="Q32" s="9"/>
      <c r="R32" s="9"/>
      <c r="S32" s="9"/>
      <c r="T32" s="9"/>
      <c r="U32" s="9"/>
      <c r="V32" s="9"/>
      <c r="W32" s="9"/>
      <c r="X32" s="9"/>
      <c r="Y32" s="9"/>
    </row>
    <row r="33" ht="15.75" customHeight="1" spans="1:25">
      <c r="A33" s="9"/>
      <c r="B33" s="9"/>
      <c r="C33" s="9"/>
      <c r="D33" s="10"/>
      <c r="E33" s="9"/>
      <c r="F33" s="9"/>
      <c r="G33" s="9"/>
      <c r="H33" s="9"/>
      <c r="I33" s="9"/>
      <c r="J33" s="9"/>
      <c r="K33" s="9"/>
      <c r="L33" s="9"/>
      <c r="M33" s="9"/>
      <c r="N33" s="9"/>
      <c r="O33" s="9"/>
      <c r="P33" s="9"/>
      <c r="Q33" s="9"/>
      <c r="R33" s="9"/>
      <c r="S33" s="9"/>
      <c r="T33" s="9"/>
      <c r="U33" s="9"/>
      <c r="V33" s="9"/>
      <c r="W33" s="9"/>
      <c r="X33" s="9"/>
      <c r="Y33" s="9"/>
    </row>
    <row r="34" ht="15.75" customHeight="1" spans="1:25">
      <c r="A34" s="9"/>
      <c r="B34" s="9"/>
      <c r="C34" s="9"/>
      <c r="D34" s="10"/>
      <c r="E34" s="9"/>
      <c r="F34" s="9"/>
      <c r="G34" s="9"/>
      <c r="H34" s="9"/>
      <c r="I34" s="9"/>
      <c r="J34" s="9"/>
      <c r="K34" s="9"/>
      <c r="L34" s="9"/>
      <c r="M34" s="9"/>
      <c r="N34" s="9"/>
      <c r="O34" s="9"/>
      <c r="P34" s="9"/>
      <c r="Q34" s="9"/>
      <c r="R34" s="9"/>
      <c r="S34" s="9"/>
      <c r="T34" s="9"/>
      <c r="U34" s="9"/>
      <c r="V34" s="9"/>
      <c r="W34" s="9"/>
      <c r="X34" s="9"/>
      <c r="Y34" s="9"/>
    </row>
    <row r="35" ht="15.75" customHeight="1" spans="1:25">
      <c r="A35" s="9"/>
      <c r="B35" s="9"/>
      <c r="C35" s="9"/>
      <c r="D35" s="10"/>
      <c r="E35" s="9"/>
      <c r="F35" s="9"/>
      <c r="G35" s="9"/>
      <c r="H35" s="9"/>
      <c r="I35" s="9"/>
      <c r="J35" s="9"/>
      <c r="K35" s="9"/>
      <c r="L35" s="9"/>
      <c r="M35" s="9"/>
      <c r="N35" s="9"/>
      <c r="O35" s="9"/>
      <c r="P35" s="9"/>
      <c r="Q35" s="9"/>
      <c r="R35" s="9"/>
      <c r="S35" s="9"/>
      <c r="T35" s="9"/>
      <c r="U35" s="9"/>
      <c r="V35" s="9"/>
      <c r="W35" s="9"/>
      <c r="X35" s="9"/>
      <c r="Y35" s="9"/>
    </row>
    <row r="36" ht="15.75" customHeight="1" spans="1:25">
      <c r="A36" s="9"/>
      <c r="B36" s="9"/>
      <c r="C36" s="9"/>
      <c r="D36" s="10"/>
      <c r="E36" s="9"/>
      <c r="F36" s="9"/>
      <c r="G36" s="9"/>
      <c r="H36" s="9"/>
      <c r="I36" s="9"/>
      <c r="J36" s="9"/>
      <c r="K36" s="9"/>
      <c r="L36" s="9"/>
      <c r="M36" s="9"/>
      <c r="N36" s="9"/>
      <c r="O36" s="9"/>
      <c r="P36" s="9"/>
      <c r="Q36" s="9"/>
      <c r="R36" s="9"/>
      <c r="S36" s="9"/>
      <c r="T36" s="9"/>
      <c r="U36" s="9"/>
      <c r="V36" s="9"/>
      <c r="W36" s="9"/>
      <c r="X36" s="9"/>
      <c r="Y36" s="9"/>
    </row>
    <row r="37" ht="15.75" customHeight="1" spans="1:25">
      <c r="A37" s="9"/>
      <c r="B37" s="9"/>
      <c r="C37" s="9"/>
      <c r="D37" s="10"/>
      <c r="E37" s="9"/>
      <c r="F37" s="9"/>
      <c r="G37" s="9"/>
      <c r="H37" s="9"/>
      <c r="I37" s="9"/>
      <c r="J37" s="9"/>
      <c r="K37" s="9"/>
      <c r="L37" s="9"/>
      <c r="M37" s="9"/>
      <c r="N37" s="9"/>
      <c r="O37" s="9"/>
      <c r="P37" s="9"/>
      <c r="Q37" s="9"/>
      <c r="R37" s="9"/>
      <c r="S37" s="9"/>
      <c r="T37" s="9"/>
      <c r="U37" s="9"/>
      <c r="V37" s="9"/>
      <c r="W37" s="9"/>
      <c r="X37" s="9"/>
      <c r="Y37" s="9"/>
    </row>
    <row r="38" ht="15.75" customHeight="1" spans="1:25">
      <c r="A38" s="9"/>
      <c r="B38" s="9"/>
      <c r="C38" s="9"/>
      <c r="D38" s="10"/>
      <c r="E38" s="9"/>
      <c r="F38" s="9"/>
      <c r="G38" s="9"/>
      <c r="H38" s="9"/>
      <c r="I38" s="9"/>
      <c r="J38" s="9"/>
      <c r="K38" s="9"/>
      <c r="L38" s="9"/>
      <c r="M38" s="9"/>
      <c r="N38" s="9"/>
      <c r="O38" s="9"/>
      <c r="P38" s="9"/>
      <c r="Q38" s="9"/>
      <c r="R38" s="9"/>
      <c r="S38" s="9"/>
      <c r="T38" s="9"/>
      <c r="U38" s="9"/>
      <c r="V38" s="9"/>
      <c r="W38" s="9"/>
      <c r="X38" s="9"/>
      <c r="Y38" s="9"/>
    </row>
    <row r="39" ht="15.75" customHeight="1" spans="1:25">
      <c r="A39" s="9"/>
      <c r="B39" s="9"/>
      <c r="C39" s="9"/>
      <c r="D39" s="10"/>
      <c r="E39" s="9"/>
      <c r="F39" s="9"/>
      <c r="G39" s="9"/>
      <c r="H39" s="9"/>
      <c r="I39" s="9"/>
      <c r="J39" s="9"/>
      <c r="K39" s="9"/>
      <c r="L39" s="9"/>
      <c r="M39" s="9"/>
      <c r="N39" s="9"/>
      <c r="O39" s="9"/>
      <c r="P39" s="9"/>
      <c r="Q39" s="9"/>
      <c r="R39" s="9"/>
      <c r="S39" s="9"/>
      <c r="T39" s="9"/>
      <c r="U39" s="9"/>
      <c r="V39" s="9"/>
      <c r="W39" s="9"/>
      <c r="X39" s="9"/>
      <c r="Y39" s="9"/>
    </row>
    <row r="40" ht="15.75" customHeight="1" spans="1:25">
      <c r="A40" s="9"/>
      <c r="B40" s="9"/>
      <c r="C40" s="9"/>
      <c r="D40" s="10"/>
      <c r="E40" s="9"/>
      <c r="F40" s="9"/>
      <c r="G40" s="9"/>
      <c r="H40" s="9"/>
      <c r="I40" s="9"/>
      <c r="J40" s="9"/>
      <c r="K40" s="9"/>
      <c r="L40" s="9"/>
      <c r="M40" s="9"/>
      <c r="N40" s="9"/>
      <c r="O40" s="9"/>
      <c r="P40" s="9"/>
      <c r="Q40" s="9"/>
      <c r="R40" s="9"/>
      <c r="S40" s="9"/>
      <c r="T40" s="9"/>
      <c r="U40" s="9"/>
      <c r="V40" s="9"/>
      <c r="W40" s="9"/>
      <c r="X40" s="9"/>
      <c r="Y40" s="9"/>
    </row>
    <row r="41" ht="15.75" customHeight="1" spans="1:25">
      <c r="A41" s="9"/>
      <c r="B41" s="9"/>
      <c r="C41" s="9"/>
      <c r="D41" s="10"/>
      <c r="E41" s="9"/>
      <c r="F41" s="9"/>
      <c r="G41" s="9"/>
      <c r="H41" s="9"/>
      <c r="I41" s="9"/>
      <c r="J41" s="9"/>
      <c r="K41" s="9"/>
      <c r="L41" s="9"/>
      <c r="M41" s="9"/>
      <c r="N41" s="9"/>
      <c r="O41" s="9"/>
      <c r="P41" s="9"/>
      <c r="Q41" s="9"/>
      <c r="R41" s="9"/>
      <c r="S41" s="9"/>
      <c r="T41" s="9"/>
      <c r="U41" s="9"/>
      <c r="V41" s="9"/>
      <c r="W41" s="9"/>
      <c r="X41" s="9"/>
      <c r="Y41" s="9"/>
    </row>
    <row r="42" ht="15.75" customHeight="1" spans="1:25">
      <c r="A42" s="9"/>
      <c r="B42" s="9"/>
      <c r="C42" s="9"/>
      <c r="D42" s="10"/>
      <c r="E42" s="9"/>
      <c r="F42" s="9"/>
      <c r="G42" s="9"/>
      <c r="H42" s="9"/>
      <c r="I42" s="9"/>
      <c r="J42" s="9"/>
      <c r="K42" s="9"/>
      <c r="L42" s="9"/>
      <c r="M42" s="9"/>
      <c r="N42" s="9"/>
      <c r="O42" s="9"/>
      <c r="P42" s="9"/>
      <c r="Q42" s="9"/>
      <c r="R42" s="9"/>
      <c r="S42" s="9"/>
      <c r="T42" s="9"/>
      <c r="U42" s="9"/>
      <c r="V42" s="9"/>
      <c r="W42" s="9"/>
      <c r="X42" s="9"/>
      <c r="Y42" s="9"/>
    </row>
    <row r="43" ht="15.75" customHeight="1" spans="1:25">
      <c r="A43" s="9"/>
      <c r="B43" s="9"/>
      <c r="C43" s="9"/>
      <c r="D43" s="10"/>
      <c r="E43" s="9"/>
      <c r="F43" s="9"/>
      <c r="G43" s="9"/>
      <c r="H43" s="9"/>
      <c r="I43" s="9"/>
      <c r="J43" s="9"/>
      <c r="K43" s="9"/>
      <c r="L43" s="9"/>
      <c r="M43" s="9"/>
      <c r="N43" s="9"/>
      <c r="O43" s="9"/>
      <c r="P43" s="9"/>
      <c r="Q43" s="9"/>
      <c r="R43" s="9"/>
      <c r="S43" s="9"/>
      <c r="T43" s="9"/>
      <c r="U43" s="9"/>
      <c r="V43" s="9"/>
      <c r="W43" s="9"/>
      <c r="X43" s="9"/>
      <c r="Y43" s="9"/>
    </row>
    <row r="44" ht="15.75" customHeight="1" spans="1:25">
      <c r="A44" s="9"/>
      <c r="B44" s="9"/>
      <c r="C44" s="9"/>
      <c r="D44" s="10"/>
      <c r="E44" s="9"/>
      <c r="F44" s="9"/>
      <c r="G44" s="9"/>
      <c r="H44" s="9"/>
      <c r="I44" s="9"/>
      <c r="J44" s="9"/>
      <c r="K44" s="9"/>
      <c r="L44" s="9"/>
      <c r="M44" s="9"/>
      <c r="N44" s="9"/>
      <c r="O44" s="9"/>
      <c r="P44" s="9"/>
      <c r="Q44" s="9"/>
      <c r="R44" s="9"/>
      <c r="S44" s="9"/>
      <c r="T44" s="9"/>
      <c r="U44" s="9"/>
      <c r="V44" s="9"/>
      <c r="W44" s="9"/>
      <c r="X44" s="9"/>
      <c r="Y44" s="9"/>
    </row>
    <row r="45" ht="15.75" customHeight="1" spans="1:25">
      <c r="A45" s="9"/>
      <c r="B45" s="9"/>
      <c r="C45" s="9"/>
      <c r="D45" s="10"/>
      <c r="E45" s="9"/>
      <c r="F45" s="9"/>
      <c r="G45" s="9"/>
      <c r="H45" s="9"/>
      <c r="I45" s="9"/>
      <c r="J45" s="9"/>
      <c r="K45" s="9"/>
      <c r="L45" s="9"/>
      <c r="M45" s="9"/>
      <c r="N45" s="9"/>
      <c r="O45" s="9"/>
      <c r="P45" s="9"/>
      <c r="Q45" s="9"/>
      <c r="R45" s="9"/>
      <c r="S45" s="9"/>
      <c r="T45" s="9"/>
      <c r="U45" s="9"/>
      <c r="V45" s="9"/>
      <c r="W45" s="9"/>
      <c r="X45" s="9"/>
      <c r="Y45" s="9"/>
    </row>
    <row r="46" ht="15.75" customHeight="1" spans="1:25">
      <c r="A46" s="9"/>
      <c r="B46" s="9"/>
      <c r="C46" s="9"/>
      <c r="D46" s="10"/>
      <c r="E46" s="9"/>
      <c r="F46" s="9"/>
      <c r="G46" s="9"/>
      <c r="H46" s="9"/>
      <c r="I46" s="9"/>
      <c r="J46" s="9"/>
      <c r="K46" s="9"/>
      <c r="L46" s="9"/>
      <c r="M46" s="9"/>
      <c r="N46" s="9"/>
      <c r="O46" s="9"/>
      <c r="P46" s="9"/>
      <c r="Q46" s="9"/>
      <c r="R46" s="9"/>
      <c r="S46" s="9"/>
      <c r="T46" s="9"/>
      <c r="U46" s="9"/>
      <c r="V46" s="9"/>
      <c r="W46" s="9"/>
      <c r="X46" s="9"/>
      <c r="Y46" s="9"/>
    </row>
    <row r="47" ht="15.75" customHeight="1" spans="1:25">
      <c r="A47" s="9"/>
      <c r="B47" s="9"/>
      <c r="C47" s="9"/>
      <c r="D47" s="10"/>
      <c r="E47" s="9"/>
      <c r="F47" s="9"/>
      <c r="G47" s="9"/>
      <c r="H47" s="9"/>
      <c r="I47" s="9"/>
      <c r="J47" s="9"/>
      <c r="K47" s="9"/>
      <c r="L47" s="9"/>
      <c r="M47" s="9"/>
      <c r="N47" s="9"/>
      <c r="O47" s="9"/>
      <c r="P47" s="9"/>
      <c r="Q47" s="9"/>
      <c r="R47" s="9"/>
      <c r="S47" s="9"/>
      <c r="T47" s="9"/>
      <c r="U47" s="9"/>
      <c r="V47" s="9"/>
      <c r="W47" s="9"/>
      <c r="X47" s="9"/>
      <c r="Y47" s="9"/>
    </row>
    <row r="48" ht="15.75" customHeight="1" spans="1:25">
      <c r="A48" s="9"/>
      <c r="B48" s="9"/>
      <c r="C48" s="9"/>
      <c r="D48" s="10"/>
      <c r="E48" s="9"/>
      <c r="F48" s="9"/>
      <c r="G48" s="9"/>
      <c r="H48" s="9"/>
      <c r="I48" s="9"/>
      <c r="J48" s="9"/>
      <c r="K48" s="9"/>
      <c r="L48" s="9"/>
      <c r="M48" s="9"/>
      <c r="N48" s="9"/>
      <c r="O48" s="9"/>
      <c r="P48" s="9"/>
      <c r="Q48" s="9"/>
      <c r="R48" s="9"/>
      <c r="S48" s="9"/>
      <c r="T48" s="9"/>
      <c r="U48" s="9"/>
      <c r="V48" s="9"/>
      <c r="W48" s="9"/>
      <c r="X48" s="9"/>
      <c r="Y48" s="9"/>
    </row>
    <row r="49" ht="15.75" customHeight="1" spans="1:25">
      <c r="A49" s="9"/>
      <c r="B49" s="9"/>
      <c r="C49" s="9"/>
      <c r="D49" s="10"/>
      <c r="E49" s="9"/>
      <c r="F49" s="9"/>
      <c r="G49" s="9"/>
      <c r="H49" s="9"/>
      <c r="I49" s="9"/>
      <c r="J49" s="9"/>
      <c r="K49" s="9"/>
      <c r="L49" s="9"/>
      <c r="M49" s="9"/>
      <c r="N49" s="9"/>
      <c r="O49" s="9"/>
      <c r="P49" s="9"/>
      <c r="Q49" s="9"/>
      <c r="R49" s="9"/>
      <c r="S49" s="9"/>
      <c r="T49" s="9"/>
      <c r="U49" s="9"/>
      <c r="V49" s="9"/>
      <c r="W49" s="9"/>
      <c r="X49" s="9"/>
      <c r="Y49" s="9"/>
    </row>
    <row r="50" ht="15.75" customHeight="1" spans="1:25">
      <c r="A50" s="9"/>
      <c r="B50" s="9"/>
      <c r="C50" s="9"/>
      <c r="D50" s="10"/>
      <c r="E50" s="9"/>
      <c r="F50" s="9"/>
      <c r="G50" s="9"/>
      <c r="H50" s="9"/>
      <c r="I50" s="9"/>
      <c r="J50" s="9"/>
      <c r="K50" s="9"/>
      <c r="L50" s="9"/>
      <c r="M50" s="9"/>
      <c r="N50" s="9"/>
      <c r="O50" s="9"/>
      <c r="P50" s="9"/>
      <c r="Q50" s="9"/>
      <c r="R50" s="9"/>
      <c r="S50" s="9"/>
      <c r="T50" s="9"/>
      <c r="U50" s="9"/>
      <c r="V50" s="9"/>
      <c r="W50" s="9"/>
      <c r="X50" s="9"/>
      <c r="Y50" s="9"/>
    </row>
    <row r="51" ht="15.75" customHeight="1" spans="1:25">
      <c r="A51" s="9"/>
      <c r="B51" s="9"/>
      <c r="C51" s="9"/>
      <c r="D51" s="10"/>
      <c r="E51" s="9"/>
      <c r="F51" s="9"/>
      <c r="G51" s="9"/>
      <c r="H51" s="9"/>
      <c r="I51" s="9"/>
      <c r="J51" s="9"/>
      <c r="K51" s="9"/>
      <c r="L51" s="9"/>
      <c r="M51" s="9"/>
      <c r="N51" s="9"/>
      <c r="O51" s="9"/>
      <c r="P51" s="9"/>
      <c r="Q51" s="9"/>
      <c r="R51" s="9"/>
      <c r="S51" s="9"/>
      <c r="T51" s="9"/>
      <c r="U51" s="9"/>
      <c r="V51" s="9"/>
      <c r="W51" s="9"/>
      <c r="X51" s="9"/>
      <c r="Y51" s="9"/>
    </row>
    <row r="52" ht="15.75" customHeight="1" spans="1:25">
      <c r="A52" s="9"/>
      <c r="B52" s="9"/>
      <c r="C52" s="9"/>
      <c r="D52" s="10"/>
      <c r="E52" s="9"/>
      <c r="F52" s="9"/>
      <c r="G52" s="9"/>
      <c r="H52" s="9"/>
      <c r="I52" s="9"/>
      <c r="J52" s="9"/>
      <c r="K52" s="9"/>
      <c r="L52" s="9"/>
      <c r="M52" s="9"/>
      <c r="N52" s="9"/>
      <c r="O52" s="9"/>
      <c r="P52" s="9"/>
      <c r="Q52" s="9"/>
      <c r="R52" s="9"/>
      <c r="S52" s="9"/>
      <c r="T52" s="9"/>
      <c r="U52" s="9"/>
      <c r="V52" s="9"/>
      <c r="W52" s="9"/>
      <c r="X52" s="9"/>
      <c r="Y52" s="9"/>
    </row>
    <row r="53" ht="15.75" customHeight="1" spans="1:25">
      <c r="A53" s="9"/>
      <c r="B53" s="9"/>
      <c r="C53" s="9"/>
      <c r="D53" s="10"/>
      <c r="E53" s="9"/>
      <c r="F53" s="9"/>
      <c r="G53" s="9"/>
      <c r="H53" s="9"/>
      <c r="I53" s="9"/>
      <c r="J53" s="9"/>
      <c r="K53" s="9"/>
      <c r="L53" s="9"/>
      <c r="M53" s="9"/>
      <c r="N53" s="9"/>
      <c r="O53" s="9"/>
      <c r="P53" s="9"/>
      <c r="Q53" s="9"/>
      <c r="R53" s="9"/>
      <c r="S53" s="9"/>
      <c r="T53" s="9"/>
      <c r="U53" s="9"/>
      <c r="V53" s="9"/>
      <c r="W53" s="9"/>
      <c r="X53" s="9"/>
      <c r="Y53" s="9"/>
    </row>
    <row r="54" ht="15.75" customHeight="1" spans="1:25">
      <c r="A54" s="9"/>
      <c r="B54" s="9"/>
      <c r="C54" s="9"/>
      <c r="D54" s="10"/>
      <c r="E54" s="9"/>
      <c r="F54" s="9"/>
      <c r="G54" s="9"/>
      <c r="H54" s="9"/>
      <c r="I54" s="9"/>
      <c r="J54" s="9"/>
      <c r="K54" s="9"/>
      <c r="L54" s="9"/>
      <c r="M54" s="9"/>
      <c r="N54" s="9"/>
      <c r="O54" s="9"/>
      <c r="P54" s="9"/>
      <c r="Q54" s="9"/>
      <c r="R54" s="9"/>
      <c r="S54" s="9"/>
      <c r="T54" s="9"/>
      <c r="U54" s="9"/>
      <c r="V54" s="9"/>
      <c r="W54" s="9"/>
      <c r="X54" s="9"/>
      <c r="Y54" s="9"/>
    </row>
    <row r="55" ht="15.75" customHeight="1" spans="1:25">
      <c r="A55" s="9"/>
      <c r="B55" s="9"/>
      <c r="C55" s="9"/>
      <c r="D55" s="10"/>
      <c r="E55" s="9"/>
      <c r="F55" s="9"/>
      <c r="G55" s="9"/>
      <c r="H55" s="9"/>
      <c r="I55" s="9"/>
      <c r="J55" s="9"/>
      <c r="K55" s="9"/>
      <c r="L55" s="9"/>
      <c r="M55" s="9"/>
      <c r="N55" s="9"/>
      <c r="O55" s="9"/>
      <c r="P55" s="9"/>
      <c r="Q55" s="9"/>
      <c r="R55" s="9"/>
      <c r="S55" s="9"/>
      <c r="T55" s="9"/>
      <c r="U55" s="9"/>
      <c r="V55" s="9"/>
      <c r="W55" s="9"/>
      <c r="X55" s="9"/>
      <c r="Y55" s="9"/>
    </row>
    <row r="56" ht="15.75" customHeight="1" spans="1:25">
      <c r="A56" s="9"/>
      <c r="B56" s="9"/>
      <c r="C56" s="9"/>
      <c r="D56" s="10"/>
      <c r="E56" s="9"/>
      <c r="F56" s="9"/>
      <c r="G56" s="9"/>
      <c r="H56" s="9"/>
      <c r="I56" s="9"/>
      <c r="J56" s="9"/>
      <c r="K56" s="9"/>
      <c r="L56" s="9"/>
      <c r="M56" s="9"/>
      <c r="N56" s="9"/>
      <c r="O56" s="9"/>
      <c r="P56" s="9"/>
      <c r="Q56" s="9"/>
      <c r="R56" s="9"/>
      <c r="S56" s="9"/>
      <c r="T56" s="9"/>
      <c r="U56" s="9"/>
      <c r="V56" s="9"/>
      <c r="W56" s="9"/>
      <c r="X56" s="9"/>
      <c r="Y56" s="9"/>
    </row>
    <row r="57" ht="15.75" customHeight="1" spans="1:25">
      <c r="A57" s="9"/>
      <c r="B57" s="9"/>
      <c r="C57" s="9"/>
      <c r="D57" s="10"/>
      <c r="E57" s="9"/>
      <c r="F57" s="9"/>
      <c r="G57" s="9"/>
      <c r="H57" s="9"/>
      <c r="I57" s="9"/>
      <c r="J57" s="9"/>
      <c r="K57" s="9"/>
      <c r="L57" s="9"/>
      <c r="M57" s="9"/>
      <c r="N57" s="9"/>
      <c r="O57" s="9"/>
      <c r="P57" s="9"/>
      <c r="Q57" s="9"/>
      <c r="R57" s="9"/>
      <c r="S57" s="9"/>
      <c r="T57" s="9"/>
      <c r="U57" s="9"/>
      <c r="V57" s="9"/>
      <c r="W57" s="9"/>
      <c r="X57" s="9"/>
      <c r="Y57" s="9"/>
    </row>
    <row r="58" ht="15.75" customHeight="1" spans="1:25">
      <c r="A58" s="9"/>
      <c r="B58" s="9"/>
      <c r="C58" s="9"/>
      <c r="D58" s="10"/>
      <c r="E58" s="9"/>
      <c r="F58" s="9"/>
      <c r="G58" s="9"/>
      <c r="H58" s="9"/>
      <c r="I58" s="9"/>
      <c r="J58" s="9"/>
      <c r="K58" s="9"/>
      <c r="L58" s="9"/>
      <c r="M58" s="9"/>
      <c r="N58" s="9"/>
      <c r="O58" s="9"/>
      <c r="P58" s="9"/>
      <c r="Q58" s="9"/>
      <c r="R58" s="9"/>
      <c r="S58" s="9"/>
      <c r="T58" s="9"/>
      <c r="U58" s="9"/>
      <c r="V58" s="9"/>
      <c r="W58" s="9"/>
      <c r="X58" s="9"/>
      <c r="Y58" s="9"/>
    </row>
    <row r="59" ht="15.75" customHeight="1" spans="1:25">
      <c r="A59" s="9"/>
      <c r="B59" s="9"/>
      <c r="C59" s="9"/>
      <c r="D59" s="10"/>
      <c r="E59" s="9"/>
      <c r="F59" s="9"/>
      <c r="G59" s="9"/>
      <c r="H59" s="9"/>
      <c r="I59" s="9"/>
      <c r="J59" s="9"/>
      <c r="K59" s="9"/>
      <c r="L59" s="9"/>
      <c r="M59" s="9"/>
      <c r="N59" s="9"/>
      <c r="O59" s="9"/>
      <c r="P59" s="9"/>
      <c r="Q59" s="9"/>
      <c r="R59" s="9"/>
      <c r="S59" s="9"/>
      <c r="T59" s="9"/>
      <c r="U59" s="9"/>
      <c r="V59" s="9"/>
      <c r="W59" s="9"/>
      <c r="X59" s="9"/>
      <c r="Y59" s="9"/>
    </row>
    <row r="60" ht="15.75" customHeight="1" spans="1:25">
      <c r="A60" s="9"/>
      <c r="B60" s="9"/>
      <c r="C60" s="9"/>
      <c r="D60" s="10"/>
      <c r="E60" s="9"/>
      <c r="F60" s="9"/>
      <c r="G60" s="9"/>
      <c r="H60" s="9"/>
      <c r="I60" s="9"/>
      <c r="J60" s="9"/>
      <c r="K60" s="9"/>
      <c r="L60" s="9"/>
      <c r="M60" s="9"/>
      <c r="N60" s="9"/>
      <c r="O60" s="9"/>
      <c r="P60" s="9"/>
      <c r="Q60" s="9"/>
      <c r="R60" s="9"/>
      <c r="S60" s="9"/>
      <c r="T60" s="9"/>
      <c r="U60" s="9"/>
      <c r="V60" s="9"/>
      <c r="W60" s="9"/>
      <c r="X60" s="9"/>
      <c r="Y60" s="9"/>
    </row>
    <row r="61" ht="15.75" customHeight="1" spans="1:25">
      <c r="A61" s="9"/>
      <c r="B61" s="9"/>
      <c r="C61" s="9"/>
      <c r="D61" s="10"/>
      <c r="E61" s="9"/>
      <c r="F61" s="9"/>
      <c r="G61" s="9"/>
      <c r="H61" s="9"/>
      <c r="I61" s="9"/>
      <c r="J61" s="9"/>
      <c r="K61" s="9"/>
      <c r="L61" s="9"/>
      <c r="M61" s="9"/>
      <c r="N61" s="9"/>
      <c r="O61" s="9"/>
      <c r="P61" s="9"/>
      <c r="Q61" s="9"/>
      <c r="R61" s="9"/>
      <c r="S61" s="9"/>
      <c r="T61" s="9"/>
      <c r="U61" s="9"/>
      <c r="V61" s="9"/>
      <c r="W61" s="9"/>
      <c r="X61" s="9"/>
      <c r="Y61" s="9"/>
    </row>
    <row r="62" ht="15.75" customHeight="1" spans="1:25">
      <c r="A62" s="9"/>
      <c r="B62" s="9"/>
      <c r="C62" s="9"/>
      <c r="D62" s="10"/>
      <c r="E62" s="9"/>
      <c r="F62" s="9"/>
      <c r="G62" s="9"/>
      <c r="H62" s="9"/>
      <c r="I62" s="9"/>
      <c r="J62" s="9"/>
      <c r="K62" s="9"/>
      <c r="L62" s="9"/>
      <c r="M62" s="9"/>
      <c r="N62" s="9"/>
      <c r="O62" s="9"/>
      <c r="P62" s="9"/>
      <c r="Q62" s="9"/>
      <c r="R62" s="9"/>
      <c r="S62" s="9"/>
      <c r="T62" s="9"/>
      <c r="U62" s="9"/>
      <c r="V62" s="9"/>
      <c r="W62" s="9"/>
      <c r="X62" s="9"/>
      <c r="Y62" s="9"/>
    </row>
    <row r="63" ht="15.75" customHeight="1" spans="1:25">
      <c r="A63" s="9"/>
      <c r="B63" s="9"/>
      <c r="C63" s="9"/>
      <c r="D63" s="10"/>
      <c r="E63" s="9"/>
      <c r="F63" s="9"/>
      <c r="G63" s="9"/>
      <c r="H63" s="9"/>
      <c r="I63" s="9"/>
      <c r="J63" s="9"/>
      <c r="K63" s="9"/>
      <c r="L63" s="9"/>
      <c r="M63" s="9"/>
      <c r="N63" s="9"/>
      <c r="O63" s="9"/>
      <c r="P63" s="9"/>
      <c r="Q63" s="9"/>
      <c r="R63" s="9"/>
      <c r="S63" s="9"/>
      <c r="T63" s="9"/>
      <c r="U63" s="9"/>
      <c r="V63" s="9"/>
      <c r="W63" s="9"/>
      <c r="X63" s="9"/>
      <c r="Y63" s="9"/>
    </row>
    <row r="64" ht="15.75" customHeight="1" spans="1:25">
      <c r="A64" s="9"/>
      <c r="B64" s="9"/>
      <c r="C64" s="9"/>
      <c r="D64" s="10"/>
      <c r="E64" s="9"/>
      <c r="F64" s="9"/>
      <c r="G64" s="9"/>
      <c r="H64" s="9"/>
      <c r="I64" s="9"/>
      <c r="J64" s="9"/>
      <c r="K64" s="9"/>
      <c r="L64" s="9"/>
      <c r="M64" s="9"/>
      <c r="N64" s="9"/>
      <c r="O64" s="9"/>
      <c r="P64" s="9"/>
      <c r="Q64" s="9"/>
      <c r="R64" s="9"/>
      <c r="S64" s="9"/>
      <c r="T64" s="9"/>
      <c r="U64" s="9"/>
      <c r="V64" s="9"/>
      <c r="W64" s="9"/>
      <c r="X64" s="9"/>
      <c r="Y64" s="9"/>
    </row>
    <row r="65" ht="15.75" customHeight="1" spans="1:25">
      <c r="A65" s="9"/>
      <c r="B65" s="9"/>
      <c r="C65" s="9"/>
      <c r="D65" s="10"/>
      <c r="E65" s="9"/>
      <c r="F65" s="9"/>
      <c r="G65" s="9"/>
      <c r="H65" s="9"/>
      <c r="I65" s="9"/>
      <c r="J65" s="9"/>
      <c r="K65" s="9"/>
      <c r="L65" s="9"/>
      <c r="M65" s="9"/>
      <c r="N65" s="9"/>
      <c r="O65" s="9"/>
      <c r="P65" s="9"/>
      <c r="Q65" s="9"/>
      <c r="R65" s="9"/>
      <c r="S65" s="9"/>
      <c r="T65" s="9"/>
      <c r="U65" s="9"/>
      <c r="V65" s="9"/>
      <c r="W65" s="9"/>
      <c r="X65" s="9"/>
      <c r="Y65" s="9"/>
    </row>
    <row r="66" ht="15.75" customHeight="1" spans="1:25">
      <c r="A66" s="9"/>
      <c r="B66" s="9"/>
      <c r="C66" s="9"/>
      <c r="D66" s="10"/>
      <c r="E66" s="9"/>
      <c r="F66" s="9"/>
      <c r="G66" s="9"/>
      <c r="H66" s="9"/>
      <c r="I66" s="9"/>
      <c r="J66" s="9"/>
      <c r="K66" s="9"/>
      <c r="L66" s="9"/>
      <c r="M66" s="9"/>
      <c r="N66" s="9"/>
      <c r="O66" s="9"/>
      <c r="P66" s="9"/>
      <c r="Q66" s="9"/>
      <c r="R66" s="9"/>
      <c r="S66" s="9"/>
      <c r="T66" s="9"/>
      <c r="U66" s="9"/>
      <c r="V66" s="9"/>
      <c r="W66" s="9"/>
      <c r="X66" s="9"/>
      <c r="Y66" s="9"/>
    </row>
    <row r="67" ht="15.75" customHeight="1" spans="1:25">
      <c r="A67" s="9"/>
      <c r="B67" s="9"/>
      <c r="C67" s="9"/>
      <c r="D67" s="10"/>
      <c r="E67" s="9"/>
      <c r="F67" s="9"/>
      <c r="G67" s="9"/>
      <c r="H67" s="9"/>
      <c r="I67" s="9"/>
      <c r="J67" s="9"/>
      <c r="K67" s="9"/>
      <c r="L67" s="9"/>
      <c r="M67" s="9"/>
      <c r="N67" s="9"/>
      <c r="O67" s="9"/>
      <c r="P67" s="9"/>
      <c r="Q67" s="9"/>
      <c r="R67" s="9"/>
      <c r="S67" s="9"/>
      <c r="T67" s="9"/>
      <c r="U67" s="9"/>
      <c r="V67" s="9"/>
      <c r="W67" s="9"/>
      <c r="X67" s="9"/>
      <c r="Y67" s="9"/>
    </row>
    <row r="68" ht="15.75" customHeight="1" spans="1:25">
      <c r="A68" s="9"/>
      <c r="B68" s="9"/>
      <c r="C68" s="9"/>
      <c r="D68" s="10"/>
      <c r="E68" s="9"/>
      <c r="F68" s="9"/>
      <c r="G68" s="9"/>
      <c r="H68" s="9"/>
      <c r="I68" s="9"/>
      <c r="J68" s="9"/>
      <c r="K68" s="9"/>
      <c r="L68" s="9"/>
      <c r="M68" s="9"/>
      <c r="N68" s="9"/>
      <c r="O68" s="9"/>
      <c r="P68" s="9"/>
      <c r="Q68" s="9"/>
      <c r="R68" s="9"/>
      <c r="S68" s="9"/>
      <c r="T68" s="9"/>
      <c r="U68" s="9"/>
      <c r="V68" s="9"/>
      <c r="W68" s="9"/>
      <c r="X68" s="9"/>
      <c r="Y68" s="9"/>
    </row>
    <row r="69" ht="15.75" customHeight="1" spans="1:25">
      <c r="A69" s="9"/>
      <c r="B69" s="9"/>
      <c r="C69" s="9"/>
      <c r="D69" s="10"/>
      <c r="E69" s="9"/>
      <c r="F69" s="9"/>
      <c r="G69" s="9"/>
      <c r="H69" s="9"/>
      <c r="I69" s="9"/>
      <c r="J69" s="9"/>
      <c r="K69" s="9"/>
      <c r="L69" s="9"/>
      <c r="M69" s="9"/>
      <c r="N69" s="9"/>
      <c r="O69" s="9"/>
      <c r="P69" s="9"/>
      <c r="Q69" s="9"/>
      <c r="R69" s="9"/>
      <c r="S69" s="9"/>
      <c r="T69" s="9"/>
      <c r="U69" s="9"/>
      <c r="V69" s="9"/>
      <c r="W69" s="9"/>
      <c r="X69" s="9"/>
      <c r="Y69" s="9"/>
    </row>
    <row r="70" ht="15.75" customHeight="1" spans="1:25">
      <c r="A70" s="9"/>
      <c r="B70" s="9"/>
      <c r="C70" s="9"/>
      <c r="D70" s="10"/>
      <c r="E70" s="9"/>
      <c r="F70" s="9"/>
      <c r="G70" s="9"/>
      <c r="H70" s="9"/>
      <c r="I70" s="9"/>
      <c r="J70" s="9"/>
      <c r="K70" s="9"/>
      <c r="L70" s="9"/>
      <c r="M70" s="9"/>
      <c r="N70" s="9"/>
      <c r="O70" s="9"/>
      <c r="P70" s="9"/>
      <c r="Q70" s="9"/>
      <c r="R70" s="9"/>
      <c r="S70" s="9"/>
      <c r="T70" s="9"/>
      <c r="U70" s="9"/>
      <c r="V70" s="9"/>
      <c r="W70" s="9"/>
      <c r="X70" s="9"/>
      <c r="Y70" s="9"/>
    </row>
    <row r="71" ht="15.75" customHeight="1" spans="1:25">
      <c r="A71" s="9"/>
      <c r="B71" s="9"/>
      <c r="C71" s="9"/>
      <c r="D71" s="10"/>
      <c r="E71" s="9"/>
      <c r="F71" s="9"/>
      <c r="G71" s="9"/>
      <c r="H71" s="9"/>
      <c r="I71" s="9"/>
      <c r="J71" s="9"/>
      <c r="K71" s="9"/>
      <c r="L71" s="9"/>
      <c r="M71" s="9"/>
      <c r="N71" s="9"/>
      <c r="O71" s="9"/>
      <c r="P71" s="9"/>
      <c r="Q71" s="9"/>
      <c r="R71" s="9"/>
      <c r="S71" s="9"/>
      <c r="T71" s="9"/>
      <c r="U71" s="9"/>
      <c r="V71" s="9"/>
      <c r="W71" s="9"/>
      <c r="X71" s="9"/>
      <c r="Y71" s="9"/>
    </row>
    <row r="72" ht="15.75" customHeight="1" spans="1:25">
      <c r="A72" s="9"/>
      <c r="B72" s="9"/>
      <c r="C72" s="9"/>
      <c r="D72" s="10"/>
      <c r="E72" s="9"/>
      <c r="F72" s="9"/>
      <c r="G72" s="9"/>
      <c r="H72" s="9"/>
      <c r="I72" s="9"/>
      <c r="J72" s="9"/>
      <c r="K72" s="9"/>
      <c r="L72" s="9"/>
      <c r="M72" s="9"/>
      <c r="N72" s="9"/>
      <c r="O72" s="9"/>
      <c r="P72" s="9"/>
      <c r="Q72" s="9"/>
      <c r="R72" s="9"/>
      <c r="S72" s="9"/>
      <c r="T72" s="9"/>
      <c r="U72" s="9"/>
      <c r="V72" s="9"/>
      <c r="W72" s="9"/>
      <c r="X72" s="9"/>
      <c r="Y72" s="9"/>
    </row>
    <row r="73" ht="15.75" customHeight="1" spans="1:25">
      <c r="A73" s="9"/>
      <c r="B73" s="9"/>
      <c r="C73" s="9"/>
      <c r="D73" s="10"/>
      <c r="E73" s="9"/>
      <c r="F73" s="9"/>
      <c r="G73" s="9"/>
      <c r="H73" s="9"/>
      <c r="I73" s="9"/>
      <c r="J73" s="9"/>
      <c r="K73" s="9"/>
      <c r="L73" s="9"/>
      <c r="M73" s="9"/>
      <c r="N73" s="9"/>
      <c r="O73" s="9"/>
      <c r="P73" s="9"/>
      <c r="Q73" s="9"/>
      <c r="R73" s="9"/>
      <c r="S73" s="9"/>
      <c r="T73" s="9"/>
      <c r="U73" s="9"/>
      <c r="V73" s="9"/>
      <c r="W73" s="9"/>
      <c r="X73" s="9"/>
      <c r="Y73" s="9"/>
    </row>
    <row r="74" ht="15.75" customHeight="1" spans="1:25">
      <c r="A74" s="9"/>
      <c r="B74" s="9"/>
      <c r="C74" s="9"/>
      <c r="D74" s="10"/>
      <c r="E74" s="9"/>
      <c r="F74" s="9"/>
      <c r="G74" s="9"/>
      <c r="H74" s="9"/>
      <c r="I74" s="9"/>
      <c r="J74" s="9"/>
      <c r="K74" s="9"/>
      <c r="L74" s="9"/>
      <c r="M74" s="9"/>
      <c r="N74" s="9"/>
      <c r="O74" s="9"/>
      <c r="P74" s="9"/>
      <c r="Q74" s="9"/>
      <c r="R74" s="9"/>
      <c r="S74" s="9"/>
      <c r="T74" s="9"/>
      <c r="U74" s="9"/>
      <c r="V74" s="9"/>
      <c r="W74" s="9"/>
      <c r="X74" s="9"/>
      <c r="Y74" s="9"/>
    </row>
    <row r="75" ht="15.75" customHeight="1" spans="1:25">
      <c r="A75" s="9"/>
      <c r="B75" s="9"/>
      <c r="C75" s="9"/>
      <c r="D75" s="10"/>
      <c r="E75" s="9"/>
      <c r="F75" s="9"/>
      <c r="G75" s="9"/>
      <c r="H75" s="9"/>
      <c r="I75" s="9"/>
      <c r="J75" s="9"/>
      <c r="K75" s="9"/>
      <c r="L75" s="9"/>
      <c r="M75" s="9"/>
      <c r="N75" s="9"/>
      <c r="O75" s="9"/>
      <c r="P75" s="9"/>
      <c r="Q75" s="9"/>
      <c r="R75" s="9"/>
      <c r="S75" s="9"/>
      <c r="T75" s="9"/>
      <c r="U75" s="9"/>
      <c r="V75" s="9"/>
      <c r="W75" s="9"/>
      <c r="X75" s="9"/>
      <c r="Y75" s="9"/>
    </row>
    <row r="76" ht="15.75" customHeight="1" spans="1:25">
      <c r="A76" s="9"/>
      <c r="B76" s="9"/>
      <c r="C76" s="9"/>
      <c r="D76" s="10"/>
      <c r="E76" s="9"/>
      <c r="F76" s="9"/>
      <c r="G76" s="9"/>
      <c r="H76" s="9"/>
      <c r="I76" s="9"/>
      <c r="J76" s="9"/>
      <c r="K76" s="9"/>
      <c r="L76" s="9"/>
      <c r="M76" s="9"/>
      <c r="N76" s="9"/>
      <c r="O76" s="9"/>
      <c r="P76" s="9"/>
      <c r="Q76" s="9"/>
      <c r="R76" s="9"/>
      <c r="S76" s="9"/>
      <c r="T76" s="9"/>
      <c r="U76" s="9"/>
      <c r="V76" s="9"/>
      <c r="W76" s="9"/>
      <c r="X76" s="9"/>
      <c r="Y76" s="9"/>
    </row>
    <row r="77" ht="15.75" customHeight="1" spans="1:25">
      <c r="A77" s="9"/>
      <c r="B77" s="9"/>
      <c r="C77" s="9"/>
      <c r="D77" s="10"/>
      <c r="E77" s="9"/>
      <c r="F77" s="9"/>
      <c r="G77" s="9"/>
      <c r="H77" s="9"/>
      <c r="I77" s="9"/>
      <c r="J77" s="9"/>
      <c r="K77" s="9"/>
      <c r="L77" s="9"/>
      <c r="M77" s="9"/>
      <c r="N77" s="9"/>
      <c r="O77" s="9"/>
      <c r="P77" s="9"/>
      <c r="Q77" s="9"/>
      <c r="R77" s="9"/>
      <c r="S77" s="9"/>
      <c r="T77" s="9"/>
      <c r="U77" s="9"/>
      <c r="V77" s="9"/>
      <c r="W77" s="9"/>
      <c r="X77" s="9"/>
      <c r="Y77" s="9"/>
    </row>
    <row r="78" ht="15.75" customHeight="1" spans="1:25">
      <c r="A78" s="9"/>
      <c r="B78" s="9"/>
      <c r="C78" s="9"/>
      <c r="D78" s="10"/>
      <c r="E78" s="9"/>
      <c r="F78" s="9"/>
      <c r="G78" s="9"/>
      <c r="H78" s="9"/>
      <c r="I78" s="9"/>
      <c r="J78" s="9"/>
      <c r="K78" s="9"/>
      <c r="L78" s="9"/>
      <c r="M78" s="9"/>
      <c r="N78" s="9"/>
      <c r="O78" s="9"/>
      <c r="P78" s="9"/>
      <c r="Q78" s="9"/>
      <c r="R78" s="9"/>
      <c r="S78" s="9"/>
      <c r="T78" s="9"/>
      <c r="U78" s="9"/>
      <c r="V78" s="9"/>
      <c r="W78" s="9"/>
      <c r="X78" s="9"/>
      <c r="Y78" s="9"/>
    </row>
    <row r="79" ht="15.75" customHeight="1" spans="1:25">
      <c r="A79" s="9"/>
      <c r="B79" s="9"/>
      <c r="C79" s="9"/>
      <c r="D79" s="10"/>
      <c r="E79" s="9"/>
      <c r="F79" s="9"/>
      <c r="G79" s="9"/>
      <c r="H79" s="9"/>
      <c r="I79" s="9"/>
      <c r="J79" s="9"/>
      <c r="K79" s="9"/>
      <c r="L79" s="9"/>
      <c r="M79" s="9"/>
      <c r="N79" s="9"/>
      <c r="O79" s="9"/>
      <c r="P79" s="9"/>
      <c r="Q79" s="9"/>
      <c r="R79" s="9"/>
      <c r="S79" s="9"/>
      <c r="T79" s="9"/>
      <c r="U79" s="9"/>
      <c r="V79" s="9"/>
      <c r="W79" s="9"/>
      <c r="X79" s="9"/>
      <c r="Y79" s="9"/>
    </row>
    <row r="80" ht="15.75" customHeight="1" spans="1:25">
      <c r="A80" s="9"/>
      <c r="B80" s="9"/>
      <c r="C80" s="9"/>
      <c r="D80" s="10"/>
      <c r="E80" s="9"/>
      <c r="F80" s="9"/>
      <c r="G80" s="9"/>
      <c r="H80" s="9"/>
      <c r="I80" s="9"/>
      <c r="J80" s="9"/>
      <c r="K80" s="9"/>
      <c r="L80" s="9"/>
      <c r="M80" s="9"/>
      <c r="N80" s="9"/>
      <c r="O80" s="9"/>
      <c r="P80" s="9"/>
      <c r="Q80" s="9"/>
      <c r="R80" s="9"/>
      <c r="S80" s="9"/>
      <c r="T80" s="9"/>
      <c r="U80" s="9"/>
      <c r="V80" s="9"/>
      <c r="W80" s="9"/>
      <c r="X80" s="9"/>
      <c r="Y80" s="9"/>
    </row>
    <row r="81" ht="15.75" customHeight="1" spans="1:25">
      <c r="A81" s="9"/>
      <c r="B81" s="9"/>
      <c r="C81" s="9"/>
      <c r="D81" s="10"/>
      <c r="E81" s="9"/>
      <c r="F81" s="9"/>
      <c r="G81" s="9"/>
      <c r="H81" s="9"/>
      <c r="I81" s="9"/>
      <c r="J81" s="9"/>
      <c r="K81" s="9"/>
      <c r="L81" s="9"/>
      <c r="M81" s="9"/>
      <c r="N81" s="9"/>
      <c r="O81" s="9"/>
      <c r="P81" s="9"/>
      <c r="Q81" s="9"/>
      <c r="R81" s="9"/>
      <c r="S81" s="9"/>
      <c r="T81" s="9"/>
      <c r="U81" s="9"/>
      <c r="V81" s="9"/>
      <c r="W81" s="9"/>
      <c r="X81" s="9"/>
      <c r="Y81" s="9"/>
    </row>
    <row r="82" ht="15.75" customHeight="1" spans="1:25">
      <c r="A82" s="9"/>
      <c r="B82" s="9"/>
      <c r="C82" s="9"/>
      <c r="D82" s="10"/>
      <c r="E82" s="9"/>
      <c r="F82" s="9"/>
      <c r="G82" s="9"/>
      <c r="H82" s="9"/>
      <c r="I82" s="9"/>
      <c r="J82" s="9"/>
      <c r="K82" s="9"/>
      <c r="L82" s="9"/>
      <c r="M82" s="9"/>
      <c r="N82" s="9"/>
      <c r="O82" s="9"/>
      <c r="P82" s="9"/>
      <c r="Q82" s="9"/>
      <c r="R82" s="9"/>
      <c r="S82" s="9"/>
      <c r="T82" s="9"/>
      <c r="U82" s="9"/>
      <c r="V82" s="9"/>
      <c r="W82" s="9"/>
      <c r="X82" s="9"/>
      <c r="Y82" s="9"/>
    </row>
    <row r="83" ht="15.75" customHeight="1" spans="1:25">
      <c r="A83" s="9"/>
      <c r="B83" s="9"/>
      <c r="C83" s="9"/>
      <c r="D83" s="10"/>
      <c r="E83" s="9"/>
      <c r="F83" s="9"/>
      <c r="G83" s="9"/>
      <c r="H83" s="9"/>
      <c r="I83" s="9"/>
      <c r="J83" s="9"/>
      <c r="K83" s="9"/>
      <c r="L83" s="9"/>
      <c r="M83" s="9"/>
      <c r="N83" s="9"/>
      <c r="O83" s="9"/>
      <c r="P83" s="9"/>
      <c r="Q83" s="9"/>
      <c r="R83" s="9"/>
      <c r="S83" s="9"/>
      <c r="T83" s="9"/>
      <c r="U83" s="9"/>
      <c r="V83" s="9"/>
      <c r="W83" s="9"/>
      <c r="X83" s="9"/>
      <c r="Y83" s="9"/>
    </row>
    <row r="84" ht="15.75" customHeight="1" spans="1:25">
      <c r="A84" s="9"/>
      <c r="B84" s="9"/>
      <c r="C84" s="9"/>
      <c r="D84" s="10"/>
      <c r="E84" s="9"/>
      <c r="F84" s="9"/>
      <c r="G84" s="9"/>
      <c r="H84" s="9"/>
      <c r="I84" s="9"/>
      <c r="J84" s="9"/>
      <c r="K84" s="9"/>
      <c r="L84" s="9"/>
      <c r="M84" s="9"/>
      <c r="N84" s="9"/>
      <c r="O84" s="9"/>
      <c r="P84" s="9"/>
      <c r="Q84" s="9"/>
      <c r="R84" s="9"/>
      <c r="S84" s="9"/>
      <c r="T84" s="9"/>
      <c r="U84" s="9"/>
      <c r="V84" s="9"/>
      <c r="W84" s="9"/>
      <c r="X84" s="9"/>
      <c r="Y84" s="9"/>
    </row>
    <row r="85" ht="15.75" customHeight="1" spans="1:25">
      <c r="A85" s="9"/>
      <c r="B85" s="9"/>
      <c r="C85" s="9"/>
      <c r="D85" s="10"/>
      <c r="E85" s="9"/>
      <c r="F85" s="9"/>
      <c r="G85" s="9"/>
      <c r="H85" s="9"/>
      <c r="I85" s="9"/>
      <c r="J85" s="9"/>
      <c r="K85" s="9"/>
      <c r="L85" s="9"/>
      <c r="M85" s="9"/>
      <c r="N85" s="9"/>
      <c r="O85" s="9"/>
      <c r="P85" s="9"/>
      <c r="Q85" s="9"/>
      <c r="R85" s="9"/>
      <c r="S85" s="9"/>
      <c r="T85" s="9"/>
      <c r="U85" s="9"/>
      <c r="V85" s="9"/>
      <c r="W85" s="9"/>
      <c r="X85" s="9"/>
      <c r="Y85" s="9"/>
    </row>
    <row r="86" ht="15.75" customHeight="1" spans="1:25">
      <c r="A86" s="9"/>
      <c r="B86" s="9"/>
      <c r="C86" s="9"/>
      <c r="D86" s="10"/>
      <c r="E86" s="9"/>
      <c r="F86" s="9"/>
      <c r="G86" s="9"/>
      <c r="H86" s="9"/>
      <c r="I86" s="9"/>
      <c r="J86" s="9"/>
      <c r="K86" s="9"/>
      <c r="L86" s="9"/>
      <c r="M86" s="9"/>
      <c r="N86" s="9"/>
      <c r="O86" s="9"/>
      <c r="P86" s="9"/>
      <c r="Q86" s="9"/>
      <c r="R86" s="9"/>
      <c r="S86" s="9"/>
      <c r="T86" s="9"/>
      <c r="U86" s="9"/>
      <c r="V86" s="9"/>
      <c r="W86" s="9"/>
      <c r="X86" s="9"/>
      <c r="Y86" s="9"/>
    </row>
    <row r="87" ht="15.75" customHeight="1" spans="1:25">
      <c r="A87" s="9"/>
      <c r="B87" s="9"/>
      <c r="C87" s="9"/>
      <c r="D87" s="10"/>
      <c r="E87" s="9"/>
      <c r="F87" s="9"/>
      <c r="G87" s="9"/>
      <c r="H87" s="9"/>
      <c r="I87" s="9"/>
      <c r="J87" s="9"/>
      <c r="K87" s="9"/>
      <c r="L87" s="9"/>
      <c r="M87" s="9"/>
      <c r="N87" s="9"/>
      <c r="O87" s="9"/>
      <c r="P87" s="9"/>
      <c r="Q87" s="9"/>
      <c r="R87" s="9"/>
      <c r="S87" s="9"/>
      <c r="T87" s="9"/>
      <c r="U87" s="9"/>
      <c r="V87" s="9"/>
      <c r="W87" s="9"/>
      <c r="X87" s="9"/>
      <c r="Y87" s="9"/>
    </row>
    <row r="88" ht="15.75" customHeight="1" spans="1:25">
      <c r="A88" s="9"/>
      <c r="B88" s="9"/>
      <c r="C88" s="9"/>
      <c r="D88" s="10"/>
      <c r="E88" s="9"/>
      <c r="F88" s="9"/>
      <c r="G88" s="9"/>
      <c r="H88" s="9"/>
      <c r="I88" s="9"/>
      <c r="J88" s="9"/>
      <c r="K88" s="9"/>
      <c r="L88" s="9"/>
      <c r="M88" s="9"/>
      <c r="N88" s="9"/>
      <c r="O88" s="9"/>
      <c r="P88" s="9"/>
      <c r="Q88" s="9"/>
      <c r="R88" s="9"/>
      <c r="S88" s="9"/>
      <c r="T88" s="9"/>
      <c r="U88" s="9"/>
      <c r="V88" s="9"/>
      <c r="W88" s="9"/>
      <c r="X88" s="9"/>
      <c r="Y88" s="9"/>
    </row>
    <row r="89" ht="15.75" customHeight="1" spans="1:25">
      <c r="A89" s="9"/>
      <c r="B89" s="9"/>
      <c r="C89" s="9"/>
      <c r="D89" s="10"/>
      <c r="E89" s="9"/>
      <c r="F89" s="9"/>
      <c r="G89" s="9"/>
      <c r="H89" s="9"/>
      <c r="I89" s="9"/>
      <c r="J89" s="9"/>
      <c r="K89" s="9"/>
      <c r="L89" s="9"/>
      <c r="M89" s="9"/>
      <c r="N89" s="9"/>
      <c r="O89" s="9"/>
      <c r="P89" s="9"/>
      <c r="Q89" s="9"/>
      <c r="R89" s="9"/>
      <c r="S89" s="9"/>
      <c r="T89" s="9"/>
      <c r="U89" s="9"/>
      <c r="V89" s="9"/>
      <c r="W89" s="9"/>
      <c r="X89" s="9"/>
      <c r="Y89" s="9"/>
    </row>
    <row r="90" ht="15.75" customHeight="1" spans="1:25">
      <c r="A90" s="9"/>
      <c r="B90" s="9"/>
      <c r="C90" s="9"/>
      <c r="D90" s="10"/>
      <c r="E90" s="9"/>
      <c r="F90" s="9"/>
      <c r="G90" s="9"/>
      <c r="H90" s="9"/>
      <c r="I90" s="9"/>
      <c r="J90" s="9"/>
      <c r="K90" s="9"/>
      <c r="L90" s="9"/>
      <c r="M90" s="9"/>
      <c r="N90" s="9"/>
      <c r="O90" s="9"/>
      <c r="P90" s="9"/>
      <c r="Q90" s="9"/>
      <c r="R90" s="9"/>
      <c r="S90" s="9"/>
      <c r="T90" s="9"/>
      <c r="U90" s="9"/>
      <c r="V90" s="9"/>
      <c r="W90" s="9"/>
      <c r="X90" s="9"/>
      <c r="Y90" s="9"/>
    </row>
    <row r="91" ht="15.75" customHeight="1" spans="1:25">
      <c r="A91" s="9"/>
      <c r="B91" s="9"/>
      <c r="C91" s="9"/>
      <c r="D91" s="10"/>
      <c r="E91" s="9"/>
      <c r="F91" s="9"/>
      <c r="G91" s="9"/>
      <c r="H91" s="9"/>
      <c r="I91" s="9"/>
      <c r="J91" s="9"/>
      <c r="K91" s="9"/>
      <c r="L91" s="9"/>
      <c r="M91" s="9"/>
      <c r="N91" s="9"/>
      <c r="O91" s="9"/>
      <c r="P91" s="9"/>
      <c r="Q91" s="9"/>
      <c r="R91" s="9"/>
      <c r="S91" s="9"/>
      <c r="T91" s="9"/>
      <c r="U91" s="9"/>
      <c r="V91" s="9"/>
      <c r="W91" s="9"/>
      <c r="X91" s="9"/>
      <c r="Y91" s="9"/>
    </row>
    <row r="92" ht="15.75" customHeight="1" spans="1:25">
      <c r="A92" s="9"/>
      <c r="B92" s="9"/>
      <c r="C92" s="9"/>
      <c r="D92" s="10"/>
      <c r="E92" s="9"/>
      <c r="F92" s="9"/>
      <c r="G92" s="9"/>
      <c r="H92" s="9"/>
      <c r="I92" s="9"/>
      <c r="J92" s="9"/>
      <c r="K92" s="9"/>
      <c r="L92" s="9"/>
      <c r="M92" s="9"/>
      <c r="N92" s="9"/>
      <c r="O92" s="9"/>
      <c r="P92" s="9"/>
      <c r="Q92" s="9"/>
      <c r="R92" s="9"/>
      <c r="S92" s="9"/>
      <c r="T92" s="9"/>
      <c r="U92" s="9"/>
      <c r="V92" s="9"/>
      <c r="W92" s="9"/>
      <c r="X92" s="9"/>
      <c r="Y92" s="9"/>
    </row>
    <row r="93" ht="15.75" customHeight="1" spans="1:25">
      <c r="A93" s="9"/>
      <c r="B93" s="9"/>
      <c r="C93" s="9"/>
      <c r="D93" s="10"/>
      <c r="E93" s="9"/>
      <c r="F93" s="9"/>
      <c r="G93" s="9"/>
      <c r="H93" s="9"/>
      <c r="I93" s="9"/>
      <c r="J93" s="9"/>
      <c r="K93" s="9"/>
      <c r="L93" s="9"/>
      <c r="M93" s="9"/>
      <c r="N93" s="9"/>
      <c r="O93" s="9"/>
      <c r="P93" s="9"/>
      <c r="Q93" s="9"/>
      <c r="R93" s="9"/>
      <c r="S93" s="9"/>
      <c r="T93" s="9"/>
      <c r="U93" s="9"/>
      <c r="V93" s="9"/>
      <c r="W93" s="9"/>
      <c r="X93" s="9"/>
      <c r="Y93" s="9"/>
    </row>
    <row r="94" ht="15.75" customHeight="1" spans="1:25">
      <c r="A94" s="9"/>
      <c r="B94" s="9"/>
      <c r="C94" s="9"/>
      <c r="D94" s="10"/>
      <c r="E94" s="9"/>
      <c r="F94" s="9"/>
      <c r="G94" s="9"/>
      <c r="H94" s="9"/>
      <c r="I94" s="9"/>
      <c r="J94" s="9"/>
      <c r="K94" s="9"/>
      <c r="L94" s="9"/>
      <c r="M94" s="9"/>
      <c r="N94" s="9"/>
      <c r="O94" s="9"/>
      <c r="P94" s="9"/>
      <c r="Q94" s="9"/>
      <c r="R94" s="9"/>
      <c r="S94" s="9"/>
      <c r="T94" s="9"/>
      <c r="U94" s="9"/>
      <c r="V94" s="9"/>
      <c r="W94" s="9"/>
      <c r="X94" s="9"/>
      <c r="Y94" s="9"/>
    </row>
    <row r="95" ht="15.75" customHeight="1" spans="1:25">
      <c r="A95" s="9"/>
      <c r="B95" s="9"/>
      <c r="C95" s="9"/>
      <c r="D95" s="10"/>
      <c r="E95" s="9"/>
      <c r="F95" s="9"/>
      <c r="G95" s="9"/>
      <c r="H95" s="9"/>
      <c r="I95" s="9"/>
      <c r="J95" s="9"/>
      <c r="K95" s="9"/>
      <c r="L95" s="9"/>
      <c r="M95" s="9"/>
      <c r="N95" s="9"/>
      <c r="O95" s="9"/>
      <c r="P95" s="9"/>
      <c r="Q95" s="9"/>
      <c r="R95" s="9"/>
      <c r="S95" s="9"/>
      <c r="T95" s="9"/>
      <c r="U95" s="9"/>
      <c r="V95" s="9"/>
      <c r="W95" s="9"/>
      <c r="X95" s="9"/>
      <c r="Y95" s="9"/>
    </row>
    <row r="96" ht="15.75" customHeight="1" spans="1:25">
      <c r="A96" s="9"/>
      <c r="B96" s="9"/>
      <c r="C96" s="9"/>
      <c r="D96" s="10"/>
      <c r="E96" s="9"/>
      <c r="F96" s="9"/>
      <c r="G96" s="9"/>
      <c r="H96" s="9"/>
      <c r="I96" s="9"/>
      <c r="J96" s="9"/>
      <c r="K96" s="9"/>
      <c r="L96" s="9"/>
      <c r="M96" s="9"/>
      <c r="N96" s="9"/>
      <c r="O96" s="9"/>
      <c r="P96" s="9"/>
      <c r="Q96" s="9"/>
      <c r="R96" s="9"/>
      <c r="S96" s="9"/>
      <c r="T96" s="9"/>
      <c r="U96" s="9"/>
      <c r="V96" s="9"/>
      <c r="W96" s="9"/>
      <c r="X96" s="9"/>
      <c r="Y96" s="9"/>
    </row>
    <row r="97" ht="15.75" customHeight="1" spans="1:25">
      <c r="A97" s="9"/>
      <c r="B97" s="9"/>
      <c r="C97" s="9"/>
      <c r="D97" s="10"/>
      <c r="E97" s="9"/>
      <c r="F97" s="9"/>
      <c r="G97" s="9"/>
      <c r="H97" s="9"/>
      <c r="I97" s="9"/>
      <c r="J97" s="9"/>
      <c r="K97" s="9"/>
      <c r="L97" s="9"/>
      <c r="M97" s="9"/>
      <c r="N97" s="9"/>
      <c r="O97" s="9"/>
      <c r="P97" s="9"/>
      <c r="Q97" s="9"/>
      <c r="R97" s="9"/>
      <c r="S97" s="9"/>
      <c r="T97" s="9"/>
      <c r="U97" s="9"/>
      <c r="V97" s="9"/>
      <c r="W97" s="9"/>
      <c r="X97" s="9"/>
      <c r="Y97" s="9"/>
    </row>
    <row r="98" ht="15.75" customHeight="1" spans="1:25">
      <c r="A98" s="9"/>
      <c r="B98" s="9"/>
      <c r="C98" s="9"/>
      <c r="D98" s="10"/>
      <c r="E98" s="9"/>
      <c r="F98" s="9"/>
      <c r="G98" s="9"/>
      <c r="H98" s="9"/>
      <c r="I98" s="9"/>
      <c r="J98" s="9"/>
      <c r="K98" s="9"/>
      <c r="L98" s="9"/>
      <c r="M98" s="9"/>
      <c r="N98" s="9"/>
      <c r="O98" s="9"/>
      <c r="P98" s="9"/>
      <c r="Q98" s="9"/>
      <c r="R98" s="9"/>
      <c r="S98" s="9"/>
      <c r="T98" s="9"/>
      <c r="U98" s="9"/>
      <c r="V98" s="9"/>
      <c r="W98" s="9"/>
      <c r="X98" s="9"/>
      <c r="Y98" s="9"/>
    </row>
    <row r="99" ht="15.75" customHeight="1" spans="1:25">
      <c r="A99" s="9"/>
      <c r="B99" s="9"/>
      <c r="C99" s="9"/>
      <c r="D99" s="10"/>
      <c r="E99" s="9"/>
      <c r="F99" s="9"/>
      <c r="G99" s="9"/>
      <c r="H99" s="9"/>
      <c r="I99" s="9"/>
      <c r="J99" s="9"/>
      <c r="K99" s="9"/>
      <c r="L99" s="9"/>
      <c r="M99" s="9"/>
      <c r="N99" s="9"/>
      <c r="O99" s="9"/>
      <c r="P99" s="9"/>
      <c r="Q99" s="9"/>
      <c r="R99" s="9"/>
      <c r="S99" s="9"/>
      <c r="T99" s="9"/>
      <c r="U99" s="9"/>
      <c r="V99" s="9"/>
      <c r="W99" s="9"/>
      <c r="X99" s="9"/>
      <c r="Y99" s="9"/>
    </row>
    <row r="100" ht="15.75" customHeight="1" spans="1:25">
      <c r="A100" s="9"/>
      <c r="B100" s="9"/>
      <c r="C100" s="9"/>
      <c r="D100" s="10"/>
      <c r="E100" s="9"/>
      <c r="F100" s="9"/>
      <c r="G100" s="9"/>
      <c r="H100" s="9"/>
      <c r="I100" s="9"/>
      <c r="J100" s="9"/>
      <c r="K100" s="9"/>
      <c r="L100" s="9"/>
      <c r="M100" s="9"/>
      <c r="N100" s="9"/>
      <c r="O100" s="9"/>
      <c r="P100" s="9"/>
      <c r="Q100" s="9"/>
      <c r="R100" s="9"/>
      <c r="S100" s="9"/>
      <c r="T100" s="9"/>
      <c r="U100" s="9"/>
      <c r="V100" s="9"/>
      <c r="W100" s="9"/>
      <c r="X100" s="9"/>
      <c r="Y100" s="9"/>
    </row>
    <row r="101" ht="15.75" customHeight="1" spans="1:25">
      <c r="A101" s="9"/>
      <c r="B101" s="9"/>
      <c r="C101" s="9"/>
      <c r="D101" s="10"/>
      <c r="E101" s="9"/>
      <c r="F101" s="9"/>
      <c r="G101" s="9"/>
      <c r="H101" s="9"/>
      <c r="I101" s="9"/>
      <c r="J101" s="9"/>
      <c r="K101" s="9"/>
      <c r="L101" s="9"/>
      <c r="M101" s="9"/>
      <c r="N101" s="9"/>
      <c r="O101" s="9"/>
      <c r="P101" s="9"/>
      <c r="Q101" s="9"/>
      <c r="R101" s="9"/>
      <c r="S101" s="9"/>
      <c r="T101" s="9"/>
      <c r="U101" s="9"/>
      <c r="V101" s="9"/>
      <c r="W101" s="9"/>
      <c r="X101" s="9"/>
      <c r="Y101" s="9"/>
    </row>
    <row r="102" ht="15.75" customHeight="1" spans="1:25">
      <c r="A102" s="9"/>
      <c r="B102" s="9"/>
      <c r="C102" s="9"/>
      <c r="D102" s="10"/>
      <c r="E102" s="9"/>
      <c r="F102" s="9"/>
      <c r="G102" s="9"/>
      <c r="H102" s="9"/>
      <c r="I102" s="9"/>
      <c r="J102" s="9"/>
      <c r="K102" s="9"/>
      <c r="L102" s="9"/>
      <c r="M102" s="9"/>
      <c r="N102" s="9"/>
      <c r="O102" s="9"/>
      <c r="P102" s="9"/>
      <c r="Q102" s="9"/>
      <c r="R102" s="9"/>
      <c r="S102" s="9"/>
      <c r="T102" s="9"/>
      <c r="U102" s="9"/>
      <c r="V102" s="9"/>
      <c r="W102" s="9"/>
      <c r="X102" s="9"/>
      <c r="Y102" s="9"/>
    </row>
    <row r="103" ht="15.75" customHeight="1" spans="1:25">
      <c r="A103" s="9"/>
      <c r="B103" s="9"/>
      <c r="C103" s="9"/>
      <c r="D103" s="10"/>
      <c r="E103" s="9"/>
      <c r="F103" s="9"/>
      <c r="G103" s="9"/>
      <c r="H103" s="9"/>
      <c r="I103" s="9"/>
      <c r="J103" s="9"/>
      <c r="K103" s="9"/>
      <c r="L103" s="9"/>
      <c r="M103" s="9"/>
      <c r="N103" s="9"/>
      <c r="O103" s="9"/>
      <c r="P103" s="9"/>
      <c r="Q103" s="9"/>
      <c r="R103" s="9"/>
      <c r="S103" s="9"/>
      <c r="T103" s="9"/>
      <c r="U103" s="9"/>
      <c r="V103" s="9"/>
      <c r="W103" s="9"/>
      <c r="X103" s="9"/>
      <c r="Y103" s="9"/>
    </row>
    <row r="104" ht="15.75" customHeight="1" spans="1:25">
      <c r="A104" s="9"/>
      <c r="B104" s="9"/>
      <c r="C104" s="9"/>
      <c r="D104" s="10"/>
      <c r="E104" s="9"/>
      <c r="F104" s="9"/>
      <c r="G104" s="9"/>
      <c r="H104" s="9"/>
      <c r="I104" s="9"/>
      <c r="J104" s="9"/>
      <c r="K104" s="9"/>
      <c r="L104" s="9"/>
      <c r="M104" s="9"/>
      <c r="N104" s="9"/>
      <c r="O104" s="9"/>
      <c r="P104" s="9"/>
      <c r="Q104" s="9"/>
      <c r="R104" s="9"/>
      <c r="S104" s="9"/>
      <c r="T104" s="9"/>
      <c r="U104" s="9"/>
      <c r="V104" s="9"/>
      <c r="W104" s="9"/>
      <c r="X104" s="9"/>
      <c r="Y104" s="9"/>
    </row>
    <row r="105" ht="15.75" customHeight="1" spans="1:25">
      <c r="A105" s="9"/>
      <c r="B105" s="9"/>
      <c r="C105" s="9"/>
      <c r="D105" s="10"/>
      <c r="E105" s="9"/>
      <c r="F105" s="9"/>
      <c r="G105" s="9"/>
      <c r="H105" s="9"/>
      <c r="I105" s="9"/>
      <c r="J105" s="9"/>
      <c r="K105" s="9"/>
      <c r="L105" s="9"/>
      <c r="M105" s="9"/>
      <c r="N105" s="9"/>
      <c r="O105" s="9"/>
      <c r="P105" s="9"/>
      <c r="Q105" s="9"/>
      <c r="R105" s="9"/>
      <c r="S105" s="9"/>
      <c r="T105" s="9"/>
      <c r="U105" s="9"/>
      <c r="V105" s="9"/>
      <c r="W105" s="9"/>
      <c r="X105" s="9"/>
      <c r="Y105" s="9"/>
    </row>
    <row r="106" ht="15.75" customHeight="1" spans="1:25">
      <c r="A106" s="9"/>
      <c r="B106" s="9"/>
      <c r="C106" s="9"/>
      <c r="D106" s="10"/>
      <c r="E106" s="9"/>
      <c r="F106" s="9"/>
      <c r="G106" s="9"/>
      <c r="H106" s="9"/>
      <c r="I106" s="9"/>
      <c r="J106" s="9"/>
      <c r="K106" s="9"/>
      <c r="L106" s="9"/>
      <c r="M106" s="9"/>
      <c r="N106" s="9"/>
      <c r="O106" s="9"/>
      <c r="P106" s="9"/>
      <c r="Q106" s="9"/>
      <c r="R106" s="9"/>
      <c r="S106" s="9"/>
      <c r="T106" s="9"/>
      <c r="U106" s="9"/>
      <c r="V106" s="9"/>
      <c r="W106" s="9"/>
      <c r="X106" s="9"/>
      <c r="Y106" s="9"/>
    </row>
    <row r="107" ht="15.75" customHeight="1" spans="1:25">
      <c r="A107" s="9"/>
      <c r="B107" s="9"/>
      <c r="C107" s="9"/>
      <c r="D107" s="10"/>
      <c r="E107" s="9"/>
      <c r="F107" s="9"/>
      <c r="G107" s="9"/>
      <c r="H107" s="9"/>
      <c r="I107" s="9"/>
      <c r="J107" s="9"/>
      <c r="K107" s="9"/>
      <c r="L107" s="9"/>
      <c r="M107" s="9"/>
      <c r="N107" s="9"/>
      <c r="O107" s="9"/>
      <c r="P107" s="9"/>
      <c r="Q107" s="9"/>
      <c r="R107" s="9"/>
      <c r="S107" s="9"/>
      <c r="T107" s="9"/>
      <c r="U107" s="9"/>
      <c r="V107" s="9"/>
      <c r="W107" s="9"/>
      <c r="X107" s="9"/>
      <c r="Y107" s="9"/>
    </row>
    <row r="108" ht="15.75" customHeight="1" spans="1:25">
      <c r="A108" s="9"/>
      <c r="B108" s="9"/>
      <c r="C108" s="9"/>
      <c r="D108" s="10"/>
      <c r="E108" s="9"/>
      <c r="F108" s="9"/>
      <c r="G108" s="9"/>
      <c r="H108" s="9"/>
      <c r="I108" s="9"/>
      <c r="J108" s="9"/>
      <c r="K108" s="9"/>
      <c r="L108" s="9"/>
      <c r="M108" s="9"/>
      <c r="N108" s="9"/>
      <c r="O108" s="9"/>
      <c r="P108" s="9"/>
      <c r="Q108" s="9"/>
      <c r="R108" s="9"/>
      <c r="S108" s="9"/>
      <c r="T108" s="9"/>
      <c r="U108" s="9"/>
      <c r="V108" s="9"/>
      <c r="W108" s="9"/>
      <c r="X108" s="9"/>
      <c r="Y108" s="9"/>
    </row>
    <row r="109" ht="15.75" customHeight="1" spans="1:25">
      <c r="A109" s="9"/>
      <c r="B109" s="9"/>
      <c r="C109" s="9"/>
      <c r="D109" s="10"/>
      <c r="E109" s="9"/>
      <c r="F109" s="9"/>
      <c r="G109" s="9"/>
      <c r="H109" s="9"/>
      <c r="I109" s="9"/>
      <c r="J109" s="9"/>
      <c r="K109" s="9"/>
      <c r="L109" s="9"/>
      <c r="M109" s="9"/>
      <c r="N109" s="9"/>
      <c r="O109" s="9"/>
      <c r="P109" s="9"/>
      <c r="Q109" s="9"/>
      <c r="R109" s="9"/>
      <c r="S109" s="9"/>
      <c r="T109" s="9"/>
      <c r="U109" s="9"/>
      <c r="V109" s="9"/>
      <c r="W109" s="9"/>
      <c r="X109" s="9"/>
      <c r="Y109" s="9"/>
    </row>
    <row r="110" ht="15.75" customHeight="1" spans="1:25">
      <c r="A110" s="9"/>
      <c r="B110" s="9"/>
      <c r="C110" s="9"/>
      <c r="D110" s="10"/>
      <c r="E110" s="9"/>
      <c r="F110" s="9"/>
      <c r="G110" s="9"/>
      <c r="H110" s="9"/>
      <c r="I110" s="9"/>
      <c r="J110" s="9"/>
      <c r="K110" s="9"/>
      <c r="L110" s="9"/>
      <c r="M110" s="9"/>
      <c r="N110" s="9"/>
      <c r="O110" s="9"/>
      <c r="P110" s="9"/>
      <c r="Q110" s="9"/>
      <c r="R110" s="9"/>
      <c r="S110" s="9"/>
      <c r="T110" s="9"/>
      <c r="U110" s="9"/>
      <c r="V110" s="9"/>
      <c r="W110" s="9"/>
      <c r="X110" s="9"/>
      <c r="Y110" s="9"/>
    </row>
    <row r="111" ht="15.75" customHeight="1" spans="1:25">
      <c r="A111" s="9"/>
      <c r="B111" s="9"/>
      <c r="C111" s="9"/>
      <c r="D111" s="10"/>
      <c r="E111" s="9"/>
      <c r="F111" s="9"/>
      <c r="G111" s="9"/>
      <c r="H111" s="9"/>
      <c r="I111" s="9"/>
      <c r="J111" s="9"/>
      <c r="K111" s="9"/>
      <c r="L111" s="9"/>
      <c r="M111" s="9"/>
      <c r="N111" s="9"/>
      <c r="O111" s="9"/>
      <c r="P111" s="9"/>
      <c r="Q111" s="9"/>
      <c r="R111" s="9"/>
      <c r="S111" s="9"/>
      <c r="T111" s="9"/>
      <c r="U111" s="9"/>
      <c r="V111" s="9"/>
      <c r="W111" s="9"/>
      <c r="X111" s="9"/>
      <c r="Y111" s="9"/>
    </row>
    <row r="112" ht="15.75" customHeight="1" spans="1:25">
      <c r="A112" s="9"/>
      <c r="B112" s="9"/>
      <c r="C112" s="9"/>
      <c r="D112" s="10"/>
      <c r="E112" s="9"/>
      <c r="F112" s="9"/>
      <c r="G112" s="9"/>
      <c r="H112" s="9"/>
      <c r="I112" s="9"/>
      <c r="J112" s="9"/>
      <c r="K112" s="9"/>
      <c r="L112" s="9"/>
      <c r="M112" s="9"/>
      <c r="N112" s="9"/>
      <c r="O112" s="9"/>
      <c r="P112" s="9"/>
      <c r="Q112" s="9"/>
      <c r="R112" s="9"/>
      <c r="S112" s="9"/>
      <c r="T112" s="9"/>
      <c r="U112" s="9"/>
      <c r="V112" s="9"/>
      <c r="W112" s="9"/>
      <c r="X112" s="9"/>
      <c r="Y112" s="9"/>
    </row>
    <row r="113" ht="15.75" customHeight="1" spans="1:25">
      <c r="A113" s="9"/>
      <c r="B113" s="9"/>
      <c r="C113" s="9"/>
      <c r="D113" s="10"/>
      <c r="E113" s="9"/>
      <c r="F113" s="9"/>
      <c r="G113" s="9"/>
      <c r="H113" s="9"/>
      <c r="I113" s="9"/>
      <c r="J113" s="9"/>
      <c r="K113" s="9"/>
      <c r="L113" s="9"/>
      <c r="M113" s="9"/>
      <c r="N113" s="9"/>
      <c r="O113" s="9"/>
      <c r="P113" s="9"/>
      <c r="Q113" s="9"/>
      <c r="R113" s="9"/>
      <c r="S113" s="9"/>
      <c r="T113" s="9"/>
      <c r="U113" s="9"/>
      <c r="V113" s="9"/>
      <c r="W113" s="9"/>
      <c r="X113" s="9"/>
      <c r="Y113" s="9"/>
    </row>
    <row r="114" ht="15.75" customHeight="1" spans="1:25">
      <c r="A114" s="9"/>
      <c r="B114" s="9"/>
      <c r="C114" s="9"/>
      <c r="D114" s="10"/>
      <c r="E114" s="9"/>
      <c r="F114" s="9"/>
      <c r="G114" s="9"/>
      <c r="H114" s="9"/>
      <c r="I114" s="9"/>
      <c r="J114" s="9"/>
      <c r="K114" s="9"/>
      <c r="L114" s="9"/>
      <c r="M114" s="9"/>
      <c r="N114" s="9"/>
      <c r="O114" s="9"/>
      <c r="P114" s="9"/>
      <c r="Q114" s="9"/>
      <c r="R114" s="9"/>
      <c r="S114" s="9"/>
      <c r="T114" s="9"/>
      <c r="U114" s="9"/>
      <c r="V114" s="9"/>
      <c r="W114" s="9"/>
      <c r="X114" s="9"/>
      <c r="Y114" s="9"/>
    </row>
    <row r="115" ht="15.75" customHeight="1" spans="1:25">
      <c r="A115" s="9"/>
      <c r="B115" s="9"/>
      <c r="C115" s="9"/>
      <c r="D115" s="10"/>
      <c r="E115" s="9"/>
      <c r="F115" s="9"/>
      <c r="G115" s="9"/>
      <c r="H115" s="9"/>
      <c r="I115" s="9"/>
      <c r="J115" s="9"/>
      <c r="K115" s="9"/>
      <c r="L115" s="9"/>
      <c r="M115" s="9"/>
      <c r="N115" s="9"/>
      <c r="O115" s="9"/>
      <c r="P115" s="9"/>
      <c r="Q115" s="9"/>
      <c r="R115" s="9"/>
      <c r="S115" s="9"/>
      <c r="T115" s="9"/>
      <c r="U115" s="9"/>
      <c r="V115" s="9"/>
      <c r="W115" s="9"/>
      <c r="X115" s="9"/>
      <c r="Y115" s="9"/>
    </row>
    <row r="116" ht="15.75" customHeight="1" spans="1:25">
      <c r="A116" s="9"/>
      <c r="B116" s="9"/>
      <c r="C116" s="9"/>
      <c r="D116" s="10"/>
      <c r="E116" s="9"/>
      <c r="F116" s="9"/>
      <c r="G116" s="9"/>
      <c r="H116" s="9"/>
      <c r="I116" s="9"/>
      <c r="J116" s="9"/>
      <c r="K116" s="9"/>
      <c r="L116" s="9"/>
      <c r="M116" s="9"/>
      <c r="N116" s="9"/>
      <c r="O116" s="9"/>
      <c r="P116" s="9"/>
      <c r="Q116" s="9"/>
      <c r="R116" s="9"/>
      <c r="S116" s="9"/>
      <c r="T116" s="9"/>
      <c r="U116" s="9"/>
      <c r="V116" s="9"/>
      <c r="W116" s="9"/>
      <c r="X116" s="9"/>
      <c r="Y116" s="9"/>
    </row>
    <row r="117" ht="15.75" customHeight="1" spans="1:25">
      <c r="A117" s="9"/>
      <c r="B117" s="9"/>
      <c r="C117" s="9"/>
      <c r="D117" s="10"/>
      <c r="E117" s="9"/>
      <c r="F117" s="9"/>
      <c r="G117" s="9"/>
      <c r="H117" s="9"/>
      <c r="I117" s="9"/>
      <c r="J117" s="9"/>
      <c r="K117" s="9"/>
      <c r="L117" s="9"/>
      <c r="M117" s="9"/>
      <c r="N117" s="9"/>
      <c r="O117" s="9"/>
      <c r="P117" s="9"/>
      <c r="Q117" s="9"/>
      <c r="R117" s="9"/>
      <c r="S117" s="9"/>
      <c r="T117" s="9"/>
      <c r="U117" s="9"/>
      <c r="V117" s="9"/>
      <c r="W117" s="9"/>
      <c r="X117" s="9"/>
      <c r="Y117" s="9"/>
    </row>
    <row r="118" ht="15.75" customHeight="1" spans="1:25">
      <c r="A118" s="9"/>
      <c r="B118" s="9"/>
      <c r="C118" s="9"/>
      <c r="D118" s="10"/>
      <c r="E118" s="9"/>
      <c r="F118" s="9"/>
      <c r="G118" s="9"/>
      <c r="H118" s="9"/>
      <c r="I118" s="9"/>
      <c r="J118" s="9"/>
      <c r="K118" s="9"/>
      <c r="L118" s="9"/>
      <c r="M118" s="9"/>
      <c r="N118" s="9"/>
      <c r="O118" s="9"/>
      <c r="P118" s="9"/>
      <c r="Q118" s="9"/>
      <c r="R118" s="9"/>
      <c r="S118" s="9"/>
      <c r="T118" s="9"/>
      <c r="U118" s="9"/>
      <c r="V118" s="9"/>
      <c r="W118" s="9"/>
      <c r="X118" s="9"/>
      <c r="Y118" s="9"/>
    </row>
    <row r="119" ht="15.75" customHeight="1" spans="1:25">
      <c r="A119" s="9"/>
      <c r="B119" s="9"/>
      <c r="C119" s="9"/>
      <c r="D119" s="10"/>
      <c r="E119" s="9"/>
      <c r="F119" s="9"/>
      <c r="G119" s="9"/>
      <c r="H119" s="9"/>
      <c r="I119" s="9"/>
      <c r="J119" s="9"/>
      <c r="K119" s="9"/>
      <c r="L119" s="9"/>
      <c r="M119" s="9"/>
      <c r="N119" s="9"/>
      <c r="O119" s="9"/>
      <c r="P119" s="9"/>
      <c r="Q119" s="9"/>
      <c r="R119" s="9"/>
      <c r="S119" s="9"/>
      <c r="T119" s="9"/>
      <c r="U119" s="9"/>
      <c r="V119" s="9"/>
      <c r="W119" s="9"/>
      <c r="X119" s="9"/>
      <c r="Y119" s="9"/>
    </row>
    <row r="120" ht="15.75" customHeight="1" spans="1:25">
      <c r="A120" s="9"/>
      <c r="B120" s="9"/>
      <c r="C120" s="9"/>
      <c r="D120" s="10"/>
      <c r="E120" s="9"/>
      <c r="F120" s="9"/>
      <c r="G120" s="9"/>
      <c r="H120" s="9"/>
      <c r="I120" s="9"/>
      <c r="J120" s="9"/>
      <c r="K120" s="9"/>
      <c r="L120" s="9"/>
      <c r="M120" s="9"/>
      <c r="N120" s="9"/>
      <c r="O120" s="9"/>
      <c r="P120" s="9"/>
      <c r="Q120" s="9"/>
      <c r="R120" s="9"/>
      <c r="S120" s="9"/>
      <c r="T120" s="9"/>
      <c r="U120" s="9"/>
      <c r="V120" s="9"/>
      <c r="W120" s="9"/>
      <c r="X120" s="9"/>
      <c r="Y120" s="9"/>
    </row>
    <row r="121" ht="15.75" customHeight="1" spans="1:25">
      <c r="A121" s="9"/>
      <c r="B121" s="9"/>
      <c r="C121" s="9"/>
      <c r="D121" s="10"/>
      <c r="E121" s="9"/>
      <c r="F121" s="9"/>
      <c r="G121" s="9"/>
      <c r="H121" s="9"/>
      <c r="I121" s="9"/>
      <c r="J121" s="9"/>
      <c r="K121" s="9"/>
      <c r="L121" s="9"/>
      <c r="M121" s="9"/>
      <c r="N121" s="9"/>
      <c r="O121" s="9"/>
      <c r="P121" s="9"/>
      <c r="Q121" s="9"/>
      <c r="R121" s="9"/>
      <c r="S121" s="9"/>
      <c r="T121" s="9"/>
      <c r="U121" s="9"/>
      <c r="V121" s="9"/>
      <c r="W121" s="9"/>
      <c r="X121" s="9"/>
      <c r="Y121" s="9"/>
    </row>
    <row r="122" ht="15.75" customHeight="1" spans="1:25">
      <c r="A122" s="9"/>
      <c r="B122" s="9"/>
      <c r="C122" s="9"/>
      <c r="D122" s="10"/>
      <c r="E122" s="9"/>
      <c r="F122" s="9"/>
      <c r="G122" s="9"/>
      <c r="H122" s="9"/>
      <c r="I122" s="9"/>
      <c r="J122" s="9"/>
      <c r="K122" s="9"/>
      <c r="L122" s="9"/>
      <c r="M122" s="9"/>
      <c r="N122" s="9"/>
      <c r="O122" s="9"/>
      <c r="P122" s="9"/>
      <c r="Q122" s="9"/>
      <c r="R122" s="9"/>
      <c r="S122" s="9"/>
      <c r="T122" s="9"/>
      <c r="U122" s="9"/>
      <c r="V122" s="9"/>
      <c r="W122" s="9"/>
      <c r="X122" s="9"/>
      <c r="Y122" s="9"/>
    </row>
    <row r="123" ht="15.75" customHeight="1" spans="1:25">
      <c r="A123" s="9"/>
      <c r="B123" s="9"/>
      <c r="C123" s="9"/>
      <c r="D123" s="10"/>
      <c r="E123" s="9"/>
      <c r="F123" s="9"/>
      <c r="G123" s="9"/>
      <c r="H123" s="9"/>
      <c r="I123" s="9"/>
      <c r="J123" s="9"/>
      <c r="K123" s="9"/>
      <c r="L123" s="9"/>
      <c r="M123" s="9"/>
      <c r="N123" s="9"/>
      <c r="O123" s="9"/>
      <c r="P123" s="9"/>
      <c r="Q123" s="9"/>
      <c r="R123" s="9"/>
      <c r="S123" s="9"/>
      <c r="T123" s="9"/>
      <c r="U123" s="9"/>
      <c r="V123" s="9"/>
      <c r="W123" s="9"/>
      <c r="X123" s="9"/>
      <c r="Y123" s="9"/>
    </row>
    <row r="124" ht="15.75" customHeight="1" spans="1:25">
      <c r="A124" s="9"/>
      <c r="B124" s="9"/>
      <c r="C124" s="9"/>
      <c r="D124" s="10"/>
      <c r="E124" s="9"/>
      <c r="F124" s="9"/>
      <c r="G124" s="9"/>
      <c r="H124" s="9"/>
      <c r="I124" s="9"/>
      <c r="J124" s="9"/>
      <c r="K124" s="9"/>
      <c r="L124" s="9"/>
      <c r="M124" s="9"/>
      <c r="N124" s="9"/>
      <c r="O124" s="9"/>
      <c r="P124" s="9"/>
      <c r="Q124" s="9"/>
      <c r="R124" s="9"/>
      <c r="S124" s="9"/>
      <c r="T124" s="9"/>
      <c r="U124" s="9"/>
      <c r="V124" s="9"/>
      <c r="W124" s="9"/>
      <c r="X124" s="9"/>
      <c r="Y124" s="9"/>
    </row>
    <row r="125" ht="15.75" customHeight="1" spans="1:25">
      <c r="A125" s="9"/>
      <c r="B125" s="9"/>
      <c r="C125" s="9"/>
      <c r="D125" s="10"/>
      <c r="E125" s="9"/>
      <c r="F125" s="9"/>
      <c r="G125" s="9"/>
      <c r="H125" s="9"/>
      <c r="I125" s="9"/>
      <c r="J125" s="9"/>
      <c r="K125" s="9"/>
      <c r="L125" s="9"/>
      <c r="M125" s="9"/>
      <c r="N125" s="9"/>
      <c r="O125" s="9"/>
      <c r="P125" s="9"/>
      <c r="Q125" s="9"/>
      <c r="R125" s="9"/>
      <c r="S125" s="9"/>
      <c r="T125" s="9"/>
      <c r="U125" s="9"/>
      <c r="V125" s="9"/>
      <c r="W125" s="9"/>
      <c r="X125" s="9"/>
      <c r="Y125" s="9"/>
    </row>
    <row r="126" ht="15.75" customHeight="1" spans="1:25">
      <c r="A126" s="9"/>
      <c r="B126" s="9"/>
      <c r="C126" s="9"/>
      <c r="D126" s="10"/>
      <c r="E126" s="9"/>
      <c r="F126" s="9"/>
      <c r="G126" s="9"/>
      <c r="H126" s="9"/>
      <c r="I126" s="9"/>
      <c r="J126" s="9"/>
      <c r="K126" s="9"/>
      <c r="L126" s="9"/>
      <c r="M126" s="9"/>
      <c r="N126" s="9"/>
      <c r="O126" s="9"/>
      <c r="P126" s="9"/>
      <c r="Q126" s="9"/>
      <c r="R126" s="9"/>
      <c r="S126" s="9"/>
      <c r="T126" s="9"/>
      <c r="U126" s="9"/>
      <c r="V126" s="9"/>
      <c r="W126" s="9"/>
      <c r="X126" s="9"/>
      <c r="Y126" s="9"/>
    </row>
    <row r="127" ht="15.75" customHeight="1" spans="1:25">
      <c r="A127" s="9"/>
      <c r="B127" s="9"/>
      <c r="C127" s="9"/>
      <c r="D127" s="10"/>
      <c r="E127" s="9"/>
      <c r="F127" s="9"/>
      <c r="G127" s="9"/>
      <c r="H127" s="9"/>
      <c r="I127" s="9"/>
      <c r="J127" s="9"/>
      <c r="K127" s="9"/>
      <c r="L127" s="9"/>
      <c r="M127" s="9"/>
      <c r="N127" s="9"/>
      <c r="O127" s="9"/>
      <c r="P127" s="9"/>
      <c r="Q127" s="9"/>
      <c r="R127" s="9"/>
      <c r="S127" s="9"/>
      <c r="T127" s="9"/>
      <c r="U127" s="9"/>
      <c r="V127" s="9"/>
      <c r="W127" s="9"/>
      <c r="X127" s="9"/>
      <c r="Y127" s="9"/>
    </row>
    <row r="128" ht="15.75" customHeight="1" spans="1:25">
      <c r="A128" s="9"/>
      <c r="B128" s="9"/>
      <c r="C128" s="9"/>
      <c r="D128" s="10"/>
      <c r="E128" s="9"/>
      <c r="F128" s="9"/>
      <c r="G128" s="9"/>
      <c r="H128" s="9"/>
      <c r="I128" s="9"/>
      <c r="J128" s="9"/>
      <c r="K128" s="9"/>
      <c r="L128" s="9"/>
      <c r="M128" s="9"/>
      <c r="N128" s="9"/>
      <c r="O128" s="9"/>
      <c r="P128" s="9"/>
      <c r="Q128" s="9"/>
      <c r="R128" s="9"/>
      <c r="S128" s="9"/>
      <c r="T128" s="9"/>
      <c r="U128" s="9"/>
      <c r="V128" s="9"/>
      <c r="W128" s="9"/>
      <c r="X128" s="9"/>
      <c r="Y128" s="9"/>
    </row>
    <row r="129" ht="15.75" customHeight="1" spans="1:25">
      <c r="A129" s="9"/>
      <c r="B129" s="9"/>
      <c r="C129" s="9"/>
      <c r="D129" s="10"/>
      <c r="E129" s="9"/>
      <c r="F129" s="9"/>
      <c r="G129" s="9"/>
      <c r="H129" s="9"/>
      <c r="I129" s="9"/>
      <c r="J129" s="9"/>
      <c r="K129" s="9"/>
      <c r="L129" s="9"/>
      <c r="M129" s="9"/>
      <c r="N129" s="9"/>
      <c r="O129" s="9"/>
      <c r="P129" s="9"/>
      <c r="Q129" s="9"/>
      <c r="R129" s="9"/>
      <c r="S129" s="9"/>
      <c r="T129" s="9"/>
      <c r="U129" s="9"/>
      <c r="V129" s="9"/>
      <c r="W129" s="9"/>
      <c r="X129" s="9"/>
      <c r="Y129" s="9"/>
    </row>
    <row r="130" ht="15.75" customHeight="1" spans="1:25">
      <c r="A130" s="9"/>
      <c r="B130" s="9"/>
      <c r="C130" s="9"/>
      <c r="D130" s="10"/>
      <c r="E130" s="9"/>
      <c r="F130" s="9"/>
      <c r="G130" s="9"/>
      <c r="H130" s="9"/>
      <c r="I130" s="9"/>
      <c r="J130" s="9"/>
      <c r="K130" s="9"/>
      <c r="L130" s="9"/>
      <c r="M130" s="9"/>
      <c r="N130" s="9"/>
      <c r="O130" s="9"/>
      <c r="P130" s="9"/>
      <c r="Q130" s="9"/>
      <c r="R130" s="9"/>
      <c r="S130" s="9"/>
      <c r="T130" s="9"/>
      <c r="U130" s="9"/>
      <c r="V130" s="9"/>
      <c r="W130" s="9"/>
      <c r="X130" s="9"/>
      <c r="Y130" s="9"/>
    </row>
    <row r="131" ht="15.75" customHeight="1" spans="1:25">
      <c r="A131" s="9"/>
      <c r="B131" s="9"/>
      <c r="C131" s="9"/>
      <c r="D131" s="10"/>
      <c r="E131" s="9"/>
      <c r="F131" s="9"/>
      <c r="G131" s="9"/>
      <c r="H131" s="9"/>
      <c r="I131" s="9"/>
      <c r="J131" s="9"/>
      <c r="K131" s="9"/>
      <c r="L131" s="9"/>
      <c r="M131" s="9"/>
      <c r="N131" s="9"/>
      <c r="O131" s="9"/>
      <c r="P131" s="9"/>
      <c r="Q131" s="9"/>
      <c r="R131" s="9"/>
      <c r="S131" s="9"/>
      <c r="T131" s="9"/>
      <c r="U131" s="9"/>
      <c r="V131" s="9"/>
      <c r="W131" s="9"/>
      <c r="X131" s="9"/>
      <c r="Y131" s="9"/>
    </row>
    <row r="132" ht="15.75" customHeight="1" spans="1:25">
      <c r="A132" s="9"/>
      <c r="B132" s="9"/>
      <c r="C132" s="9"/>
      <c r="D132" s="10"/>
      <c r="E132" s="9"/>
      <c r="F132" s="9"/>
      <c r="G132" s="9"/>
      <c r="H132" s="9"/>
      <c r="I132" s="9"/>
      <c r="J132" s="9"/>
      <c r="K132" s="9"/>
      <c r="L132" s="9"/>
      <c r="M132" s="9"/>
      <c r="N132" s="9"/>
      <c r="O132" s="9"/>
      <c r="P132" s="9"/>
      <c r="Q132" s="9"/>
      <c r="R132" s="9"/>
      <c r="S132" s="9"/>
      <c r="T132" s="9"/>
      <c r="U132" s="9"/>
      <c r="V132" s="9"/>
      <c r="W132" s="9"/>
      <c r="X132" s="9"/>
      <c r="Y132" s="9"/>
    </row>
    <row r="133" ht="15.75" customHeight="1" spans="1:25">
      <c r="A133" s="9"/>
      <c r="B133" s="9"/>
      <c r="C133" s="9"/>
      <c r="D133" s="10"/>
      <c r="E133" s="9"/>
      <c r="F133" s="9"/>
      <c r="G133" s="9"/>
      <c r="H133" s="9"/>
      <c r="I133" s="9"/>
      <c r="J133" s="9"/>
      <c r="K133" s="9"/>
      <c r="L133" s="9"/>
      <c r="M133" s="9"/>
      <c r="N133" s="9"/>
      <c r="O133" s="9"/>
      <c r="P133" s="9"/>
      <c r="Q133" s="9"/>
      <c r="R133" s="9"/>
      <c r="S133" s="9"/>
      <c r="T133" s="9"/>
      <c r="U133" s="9"/>
      <c r="V133" s="9"/>
      <c r="W133" s="9"/>
      <c r="X133" s="9"/>
      <c r="Y133" s="9"/>
    </row>
    <row r="134" ht="15.75" customHeight="1" spans="1:25">
      <c r="A134" s="9"/>
      <c r="B134" s="9"/>
      <c r="C134" s="9"/>
      <c r="D134" s="10"/>
      <c r="E134" s="9"/>
      <c r="F134" s="9"/>
      <c r="G134" s="9"/>
      <c r="H134" s="9"/>
      <c r="I134" s="9"/>
      <c r="J134" s="9"/>
      <c r="K134" s="9"/>
      <c r="L134" s="9"/>
      <c r="M134" s="9"/>
      <c r="N134" s="9"/>
      <c r="O134" s="9"/>
      <c r="P134" s="9"/>
      <c r="Q134" s="9"/>
      <c r="R134" s="9"/>
      <c r="S134" s="9"/>
      <c r="T134" s="9"/>
      <c r="U134" s="9"/>
      <c r="V134" s="9"/>
      <c r="W134" s="9"/>
      <c r="X134" s="9"/>
      <c r="Y134" s="9"/>
    </row>
    <row r="135" ht="15.75" customHeight="1" spans="1:25">
      <c r="A135" s="9"/>
      <c r="B135" s="9"/>
      <c r="C135" s="9"/>
      <c r="D135" s="10"/>
      <c r="E135" s="9"/>
      <c r="F135" s="9"/>
      <c r="G135" s="9"/>
      <c r="H135" s="9"/>
      <c r="I135" s="9"/>
      <c r="J135" s="9"/>
      <c r="K135" s="9"/>
      <c r="L135" s="9"/>
      <c r="M135" s="9"/>
      <c r="N135" s="9"/>
      <c r="O135" s="9"/>
      <c r="P135" s="9"/>
      <c r="Q135" s="9"/>
      <c r="R135" s="9"/>
      <c r="S135" s="9"/>
      <c r="T135" s="9"/>
      <c r="U135" s="9"/>
      <c r="V135" s="9"/>
      <c r="W135" s="9"/>
      <c r="X135" s="9"/>
      <c r="Y135" s="9"/>
    </row>
    <row r="136" ht="15.75" customHeight="1" spans="1:25">
      <c r="A136" s="9"/>
      <c r="B136" s="9"/>
      <c r="C136" s="9"/>
      <c r="D136" s="10"/>
      <c r="E136" s="9"/>
      <c r="F136" s="9"/>
      <c r="G136" s="9"/>
      <c r="H136" s="9"/>
      <c r="I136" s="9"/>
      <c r="J136" s="9"/>
      <c r="K136" s="9"/>
      <c r="L136" s="9"/>
      <c r="M136" s="9"/>
      <c r="N136" s="9"/>
      <c r="O136" s="9"/>
      <c r="P136" s="9"/>
      <c r="Q136" s="9"/>
      <c r="R136" s="9"/>
      <c r="S136" s="9"/>
      <c r="T136" s="9"/>
      <c r="U136" s="9"/>
      <c r="V136" s="9"/>
      <c r="W136" s="9"/>
      <c r="X136" s="9"/>
      <c r="Y136" s="9"/>
    </row>
    <row r="137" ht="15.75" customHeight="1" spans="1:25">
      <c r="A137" s="9"/>
      <c r="B137" s="9"/>
      <c r="C137" s="9"/>
      <c r="D137" s="10"/>
      <c r="E137" s="9"/>
      <c r="F137" s="9"/>
      <c r="G137" s="9"/>
      <c r="H137" s="9"/>
      <c r="I137" s="9"/>
      <c r="J137" s="9"/>
      <c r="K137" s="9"/>
      <c r="L137" s="9"/>
      <c r="M137" s="9"/>
      <c r="N137" s="9"/>
      <c r="O137" s="9"/>
      <c r="P137" s="9"/>
      <c r="Q137" s="9"/>
      <c r="R137" s="9"/>
      <c r="S137" s="9"/>
      <c r="T137" s="9"/>
      <c r="U137" s="9"/>
      <c r="V137" s="9"/>
      <c r="W137" s="9"/>
      <c r="X137" s="9"/>
      <c r="Y137" s="9"/>
    </row>
    <row r="138" ht="15.75" customHeight="1" spans="1:25">
      <c r="A138" s="9"/>
      <c r="B138" s="9"/>
      <c r="C138" s="9"/>
      <c r="D138" s="10"/>
      <c r="E138" s="9"/>
      <c r="F138" s="9"/>
      <c r="G138" s="9"/>
      <c r="H138" s="9"/>
      <c r="I138" s="9"/>
      <c r="J138" s="9"/>
      <c r="K138" s="9"/>
      <c r="L138" s="9"/>
      <c r="M138" s="9"/>
      <c r="N138" s="9"/>
      <c r="O138" s="9"/>
      <c r="P138" s="9"/>
      <c r="Q138" s="9"/>
      <c r="R138" s="9"/>
      <c r="S138" s="9"/>
      <c r="T138" s="9"/>
      <c r="U138" s="9"/>
      <c r="V138" s="9"/>
      <c r="W138" s="9"/>
      <c r="X138" s="9"/>
      <c r="Y138" s="9"/>
    </row>
    <row r="139" ht="15.75" customHeight="1" spans="1:25">
      <c r="A139" s="9"/>
      <c r="B139" s="9"/>
      <c r="C139" s="9"/>
      <c r="D139" s="10"/>
      <c r="E139" s="9"/>
      <c r="F139" s="9"/>
      <c r="G139" s="9"/>
      <c r="H139" s="9"/>
      <c r="I139" s="9"/>
      <c r="J139" s="9"/>
      <c r="K139" s="9"/>
      <c r="L139" s="9"/>
      <c r="M139" s="9"/>
      <c r="N139" s="9"/>
      <c r="O139" s="9"/>
      <c r="P139" s="9"/>
      <c r="Q139" s="9"/>
      <c r="R139" s="9"/>
      <c r="S139" s="9"/>
      <c r="T139" s="9"/>
      <c r="U139" s="9"/>
      <c r="V139" s="9"/>
      <c r="W139" s="9"/>
      <c r="X139" s="9"/>
      <c r="Y139" s="9"/>
    </row>
    <row r="140" ht="15.75" customHeight="1" spans="1:25">
      <c r="A140" s="9"/>
      <c r="B140" s="9"/>
      <c r="C140" s="9"/>
      <c r="D140" s="10"/>
      <c r="E140" s="9"/>
      <c r="F140" s="9"/>
      <c r="G140" s="9"/>
      <c r="H140" s="9"/>
      <c r="I140" s="9"/>
      <c r="J140" s="9"/>
      <c r="K140" s="9"/>
      <c r="L140" s="9"/>
      <c r="M140" s="9"/>
      <c r="N140" s="9"/>
      <c r="O140" s="9"/>
      <c r="P140" s="9"/>
      <c r="Q140" s="9"/>
      <c r="R140" s="9"/>
      <c r="S140" s="9"/>
      <c r="T140" s="9"/>
      <c r="U140" s="9"/>
      <c r="V140" s="9"/>
      <c r="W140" s="9"/>
      <c r="X140" s="9"/>
      <c r="Y140" s="9"/>
    </row>
    <row r="141" ht="15.75" customHeight="1" spans="1:25">
      <c r="A141" s="9"/>
      <c r="B141" s="9"/>
      <c r="C141" s="9"/>
      <c r="D141" s="10"/>
      <c r="E141" s="9"/>
      <c r="F141" s="9"/>
      <c r="G141" s="9"/>
      <c r="H141" s="9"/>
      <c r="I141" s="9"/>
      <c r="J141" s="9"/>
      <c r="K141" s="9"/>
      <c r="L141" s="9"/>
      <c r="M141" s="9"/>
      <c r="N141" s="9"/>
      <c r="O141" s="9"/>
      <c r="P141" s="9"/>
      <c r="Q141" s="9"/>
      <c r="R141" s="9"/>
      <c r="S141" s="9"/>
      <c r="T141" s="9"/>
      <c r="U141" s="9"/>
      <c r="V141" s="9"/>
      <c r="W141" s="9"/>
      <c r="X141" s="9"/>
      <c r="Y141" s="9"/>
    </row>
    <row r="142" ht="15.75" customHeight="1" spans="1:25">
      <c r="A142" s="9"/>
      <c r="B142" s="9"/>
      <c r="C142" s="9"/>
      <c r="D142" s="10"/>
      <c r="E142" s="9"/>
      <c r="F142" s="9"/>
      <c r="G142" s="9"/>
      <c r="H142" s="9"/>
      <c r="I142" s="9"/>
      <c r="J142" s="9"/>
      <c r="K142" s="9"/>
      <c r="L142" s="9"/>
      <c r="M142" s="9"/>
      <c r="N142" s="9"/>
      <c r="O142" s="9"/>
      <c r="P142" s="9"/>
      <c r="Q142" s="9"/>
      <c r="R142" s="9"/>
      <c r="S142" s="9"/>
      <c r="T142" s="9"/>
      <c r="U142" s="9"/>
      <c r="V142" s="9"/>
      <c r="W142" s="9"/>
      <c r="X142" s="9"/>
      <c r="Y142" s="9"/>
    </row>
    <row r="143" ht="15.75" customHeight="1" spans="1:25">
      <c r="A143" s="9"/>
      <c r="B143" s="9"/>
      <c r="C143" s="9"/>
      <c r="D143" s="10"/>
      <c r="E143" s="9"/>
      <c r="F143" s="9"/>
      <c r="G143" s="9"/>
      <c r="H143" s="9"/>
      <c r="I143" s="9"/>
      <c r="J143" s="9"/>
      <c r="K143" s="9"/>
      <c r="L143" s="9"/>
      <c r="M143" s="9"/>
      <c r="N143" s="9"/>
      <c r="O143" s="9"/>
      <c r="P143" s="9"/>
      <c r="Q143" s="9"/>
      <c r="R143" s="9"/>
      <c r="S143" s="9"/>
      <c r="T143" s="9"/>
      <c r="U143" s="9"/>
      <c r="V143" s="9"/>
      <c r="W143" s="9"/>
      <c r="X143" s="9"/>
      <c r="Y143" s="9"/>
    </row>
    <row r="144" ht="15.75" customHeight="1" spans="1:25">
      <c r="A144" s="9"/>
      <c r="B144" s="9"/>
      <c r="C144" s="9"/>
      <c r="D144" s="10"/>
      <c r="E144" s="9"/>
      <c r="F144" s="9"/>
      <c r="G144" s="9"/>
      <c r="H144" s="9"/>
      <c r="I144" s="9"/>
      <c r="J144" s="9"/>
      <c r="K144" s="9"/>
      <c r="L144" s="9"/>
      <c r="M144" s="9"/>
      <c r="N144" s="9"/>
      <c r="O144" s="9"/>
      <c r="P144" s="9"/>
      <c r="Q144" s="9"/>
      <c r="R144" s="9"/>
      <c r="S144" s="9"/>
      <c r="T144" s="9"/>
      <c r="U144" s="9"/>
      <c r="V144" s="9"/>
      <c r="W144" s="9"/>
      <c r="X144" s="9"/>
      <c r="Y144" s="9"/>
    </row>
    <row r="145" ht="15.75" customHeight="1" spans="1:25">
      <c r="A145" s="9"/>
      <c r="B145" s="9"/>
      <c r="C145" s="9"/>
      <c r="D145" s="10"/>
      <c r="E145" s="9"/>
      <c r="F145" s="9"/>
      <c r="G145" s="9"/>
      <c r="H145" s="9"/>
      <c r="I145" s="9"/>
      <c r="J145" s="9"/>
      <c r="K145" s="9"/>
      <c r="L145" s="9"/>
      <c r="M145" s="9"/>
      <c r="N145" s="9"/>
      <c r="O145" s="9"/>
      <c r="P145" s="9"/>
      <c r="Q145" s="9"/>
      <c r="R145" s="9"/>
      <c r="S145" s="9"/>
      <c r="T145" s="9"/>
      <c r="U145" s="9"/>
      <c r="V145" s="9"/>
      <c r="W145" s="9"/>
      <c r="X145" s="9"/>
      <c r="Y145" s="9"/>
    </row>
    <row r="146" ht="15.75" customHeight="1" spans="1:25">
      <c r="A146" s="9"/>
      <c r="B146" s="9"/>
      <c r="C146" s="9"/>
      <c r="D146" s="10"/>
      <c r="E146" s="9"/>
      <c r="F146" s="9"/>
      <c r="G146" s="9"/>
      <c r="H146" s="9"/>
      <c r="I146" s="9"/>
      <c r="J146" s="9"/>
      <c r="K146" s="9"/>
      <c r="L146" s="9"/>
      <c r="M146" s="9"/>
      <c r="N146" s="9"/>
      <c r="O146" s="9"/>
      <c r="P146" s="9"/>
      <c r="Q146" s="9"/>
      <c r="R146" s="9"/>
      <c r="S146" s="9"/>
      <c r="T146" s="9"/>
      <c r="U146" s="9"/>
      <c r="V146" s="9"/>
      <c r="W146" s="9"/>
      <c r="X146" s="9"/>
      <c r="Y146" s="9"/>
    </row>
    <row r="147" ht="15.75" customHeight="1" spans="1:25">
      <c r="A147" s="9"/>
      <c r="B147" s="9"/>
      <c r="C147" s="9"/>
      <c r="D147" s="10"/>
      <c r="E147" s="9"/>
      <c r="F147" s="9"/>
      <c r="G147" s="9"/>
      <c r="H147" s="9"/>
      <c r="I147" s="9"/>
      <c r="J147" s="9"/>
      <c r="K147" s="9"/>
      <c r="L147" s="9"/>
      <c r="M147" s="9"/>
      <c r="N147" s="9"/>
      <c r="O147" s="9"/>
      <c r="P147" s="9"/>
      <c r="Q147" s="9"/>
      <c r="R147" s="9"/>
      <c r="S147" s="9"/>
      <c r="T147" s="9"/>
      <c r="U147" s="9"/>
      <c r="V147" s="9"/>
      <c r="W147" s="9"/>
      <c r="X147" s="9"/>
      <c r="Y147" s="9"/>
    </row>
    <row r="148" ht="15.75" customHeight="1" spans="1:25">
      <c r="A148" s="9"/>
      <c r="B148" s="9"/>
      <c r="C148" s="9"/>
      <c r="D148" s="10"/>
      <c r="E148" s="9"/>
      <c r="F148" s="9"/>
      <c r="G148" s="9"/>
      <c r="H148" s="9"/>
      <c r="I148" s="9"/>
      <c r="J148" s="9"/>
      <c r="K148" s="9"/>
      <c r="L148" s="9"/>
      <c r="M148" s="9"/>
      <c r="N148" s="9"/>
      <c r="O148" s="9"/>
      <c r="P148" s="9"/>
      <c r="Q148" s="9"/>
      <c r="R148" s="9"/>
      <c r="S148" s="9"/>
      <c r="T148" s="9"/>
      <c r="U148" s="9"/>
      <c r="V148" s="9"/>
      <c r="W148" s="9"/>
      <c r="X148" s="9"/>
      <c r="Y148" s="9"/>
    </row>
    <row r="149" ht="15.75" customHeight="1" spans="1:25">
      <c r="A149" s="9"/>
      <c r="B149" s="9"/>
      <c r="C149" s="9"/>
      <c r="D149" s="10"/>
      <c r="E149" s="9"/>
      <c r="F149" s="9"/>
      <c r="G149" s="9"/>
      <c r="H149" s="9"/>
      <c r="I149" s="9"/>
      <c r="J149" s="9"/>
      <c r="K149" s="9"/>
      <c r="L149" s="9"/>
      <c r="M149" s="9"/>
      <c r="N149" s="9"/>
      <c r="O149" s="9"/>
      <c r="P149" s="9"/>
      <c r="Q149" s="9"/>
      <c r="R149" s="9"/>
      <c r="S149" s="9"/>
      <c r="T149" s="9"/>
      <c r="U149" s="9"/>
      <c r="V149" s="9"/>
      <c r="W149" s="9"/>
      <c r="X149" s="9"/>
      <c r="Y149" s="9"/>
    </row>
    <row r="150" ht="15.75" customHeight="1" spans="1:25">
      <c r="A150" s="9"/>
      <c r="B150" s="9"/>
      <c r="C150" s="9"/>
      <c r="D150" s="10"/>
      <c r="E150" s="9"/>
      <c r="F150" s="9"/>
      <c r="G150" s="9"/>
      <c r="H150" s="9"/>
      <c r="I150" s="9"/>
      <c r="J150" s="9"/>
      <c r="K150" s="9"/>
      <c r="L150" s="9"/>
      <c r="M150" s="9"/>
      <c r="N150" s="9"/>
      <c r="O150" s="9"/>
      <c r="P150" s="9"/>
      <c r="Q150" s="9"/>
      <c r="R150" s="9"/>
      <c r="S150" s="9"/>
      <c r="T150" s="9"/>
      <c r="U150" s="9"/>
      <c r="V150" s="9"/>
      <c r="W150" s="9"/>
      <c r="X150" s="9"/>
      <c r="Y150" s="9"/>
    </row>
    <row r="151" ht="15.75" customHeight="1" spans="1:25">
      <c r="A151" s="9"/>
      <c r="B151" s="9"/>
      <c r="C151" s="9"/>
      <c r="D151" s="10"/>
      <c r="E151" s="9"/>
      <c r="F151" s="9"/>
      <c r="G151" s="9"/>
      <c r="H151" s="9"/>
      <c r="I151" s="9"/>
      <c r="J151" s="9"/>
      <c r="K151" s="9"/>
      <c r="L151" s="9"/>
      <c r="M151" s="9"/>
      <c r="N151" s="9"/>
      <c r="O151" s="9"/>
      <c r="P151" s="9"/>
      <c r="Q151" s="9"/>
      <c r="R151" s="9"/>
      <c r="S151" s="9"/>
      <c r="T151" s="9"/>
      <c r="U151" s="9"/>
      <c r="V151" s="9"/>
      <c r="W151" s="9"/>
      <c r="X151" s="9"/>
      <c r="Y151" s="9"/>
    </row>
    <row r="152" ht="15.75" customHeight="1" spans="1:25">
      <c r="A152" s="9"/>
      <c r="B152" s="9"/>
      <c r="C152" s="9"/>
      <c r="D152" s="10"/>
      <c r="E152" s="9"/>
      <c r="F152" s="9"/>
      <c r="G152" s="9"/>
      <c r="H152" s="9"/>
      <c r="I152" s="9"/>
      <c r="J152" s="9"/>
      <c r="K152" s="9"/>
      <c r="L152" s="9"/>
      <c r="M152" s="9"/>
      <c r="N152" s="9"/>
      <c r="O152" s="9"/>
      <c r="P152" s="9"/>
      <c r="Q152" s="9"/>
      <c r="R152" s="9"/>
      <c r="S152" s="9"/>
      <c r="T152" s="9"/>
      <c r="U152" s="9"/>
      <c r="V152" s="9"/>
      <c r="W152" s="9"/>
      <c r="X152" s="9"/>
      <c r="Y152" s="9"/>
    </row>
    <row r="153" ht="15.75" customHeight="1" spans="1:25">
      <c r="A153" s="9"/>
      <c r="B153" s="9"/>
      <c r="C153" s="9"/>
      <c r="D153" s="10"/>
      <c r="E153" s="9"/>
      <c r="F153" s="9"/>
      <c r="G153" s="9"/>
      <c r="H153" s="9"/>
      <c r="I153" s="9"/>
      <c r="J153" s="9"/>
      <c r="K153" s="9"/>
      <c r="L153" s="9"/>
      <c r="M153" s="9"/>
      <c r="N153" s="9"/>
      <c r="O153" s="9"/>
      <c r="P153" s="9"/>
      <c r="Q153" s="9"/>
      <c r="R153" s="9"/>
      <c r="S153" s="9"/>
      <c r="T153" s="9"/>
      <c r="U153" s="9"/>
      <c r="V153" s="9"/>
      <c r="W153" s="9"/>
      <c r="X153" s="9"/>
      <c r="Y153" s="9"/>
    </row>
    <row r="154" ht="15.75" customHeight="1" spans="1:25">
      <c r="A154" s="9"/>
      <c r="B154" s="9"/>
      <c r="C154" s="9"/>
      <c r="D154" s="10"/>
      <c r="E154" s="9"/>
      <c r="F154" s="9"/>
      <c r="G154" s="9"/>
      <c r="H154" s="9"/>
      <c r="I154" s="9"/>
      <c r="J154" s="9"/>
      <c r="K154" s="9"/>
      <c r="L154" s="9"/>
      <c r="M154" s="9"/>
      <c r="N154" s="9"/>
      <c r="O154" s="9"/>
      <c r="P154" s="9"/>
      <c r="Q154" s="9"/>
      <c r="R154" s="9"/>
      <c r="S154" s="9"/>
      <c r="T154" s="9"/>
      <c r="U154" s="9"/>
      <c r="V154" s="9"/>
      <c r="W154" s="9"/>
      <c r="X154" s="9"/>
      <c r="Y154" s="9"/>
    </row>
    <row r="155" ht="15.75" customHeight="1" spans="1:25">
      <c r="A155" s="9"/>
      <c r="B155" s="9"/>
      <c r="C155" s="9"/>
      <c r="D155" s="10"/>
      <c r="E155" s="9"/>
      <c r="F155" s="9"/>
      <c r="G155" s="9"/>
      <c r="H155" s="9"/>
      <c r="I155" s="9"/>
      <c r="J155" s="9"/>
      <c r="K155" s="9"/>
      <c r="L155" s="9"/>
      <c r="M155" s="9"/>
      <c r="N155" s="9"/>
      <c r="O155" s="9"/>
      <c r="P155" s="9"/>
      <c r="Q155" s="9"/>
      <c r="R155" s="9"/>
      <c r="S155" s="9"/>
      <c r="T155" s="9"/>
      <c r="U155" s="9"/>
      <c r="V155" s="9"/>
      <c r="W155" s="9"/>
      <c r="X155" s="9"/>
      <c r="Y155" s="9"/>
    </row>
    <row r="156" ht="15.75" customHeight="1" spans="1:25">
      <c r="A156" s="9"/>
      <c r="B156" s="9"/>
      <c r="C156" s="9"/>
      <c r="D156" s="10"/>
      <c r="E156" s="9"/>
      <c r="F156" s="9"/>
      <c r="G156" s="9"/>
      <c r="H156" s="9"/>
      <c r="I156" s="9"/>
      <c r="J156" s="9"/>
      <c r="K156" s="9"/>
      <c r="L156" s="9"/>
      <c r="M156" s="9"/>
      <c r="N156" s="9"/>
      <c r="O156" s="9"/>
      <c r="P156" s="9"/>
      <c r="Q156" s="9"/>
      <c r="R156" s="9"/>
      <c r="S156" s="9"/>
      <c r="T156" s="9"/>
      <c r="U156" s="9"/>
      <c r="V156" s="9"/>
      <c r="W156" s="9"/>
      <c r="X156" s="9"/>
      <c r="Y156" s="9"/>
    </row>
    <row r="157" ht="15.75" customHeight="1" spans="1:25">
      <c r="A157" s="9"/>
      <c r="B157" s="9"/>
      <c r="C157" s="9"/>
      <c r="D157" s="10"/>
      <c r="E157" s="9"/>
      <c r="F157" s="9"/>
      <c r="G157" s="9"/>
      <c r="H157" s="9"/>
      <c r="I157" s="9"/>
      <c r="J157" s="9"/>
      <c r="K157" s="9"/>
      <c r="L157" s="9"/>
      <c r="M157" s="9"/>
      <c r="N157" s="9"/>
      <c r="O157" s="9"/>
      <c r="P157" s="9"/>
      <c r="Q157" s="9"/>
      <c r="R157" s="9"/>
      <c r="S157" s="9"/>
      <c r="T157" s="9"/>
      <c r="U157" s="9"/>
      <c r="V157" s="9"/>
      <c r="W157" s="9"/>
      <c r="X157" s="9"/>
      <c r="Y157" s="9"/>
    </row>
    <row r="158" ht="15.75" customHeight="1" spans="1:25">
      <c r="A158" s="9"/>
      <c r="B158" s="9"/>
      <c r="C158" s="9"/>
      <c r="D158" s="10"/>
      <c r="E158" s="9"/>
      <c r="F158" s="9"/>
      <c r="G158" s="9"/>
      <c r="H158" s="9"/>
      <c r="I158" s="9"/>
      <c r="J158" s="9"/>
      <c r="K158" s="9"/>
      <c r="L158" s="9"/>
      <c r="M158" s="9"/>
      <c r="N158" s="9"/>
      <c r="O158" s="9"/>
      <c r="P158" s="9"/>
      <c r="Q158" s="9"/>
      <c r="R158" s="9"/>
      <c r="S158" s="9"/>
      <c r="T158" s="9"/>
      <c r="U158" s="9"/>
      <c r="V158" s="9"/>
      <c r="W158" s="9"/>
      <c r="X158" s="9"/>
      <c r="Y158" s="9"/>
    </row>
    <row r="159" ht="15.75" customHeight="1" spans="1:25">
      <c r="A159" s="9"/>
      <c r="B159" s="9"/>
      <c r="C159" s="9"/>
      <c r="D159" s="10"/>
      <c r="E159" s="9"/>
      <c r="F159" s="9"/>
      <c r="G159" s="9"/>
      <c r="H159" s="9"/>
      <c r="I159" s="9"/>
      <c r="J159" s="9"/>
      <c r="K159" s="9"/>
      <c r="L159" s="9"/>
      <c r="M159" s="9"/>
      <c r="N159" s="9"/>
      <c r="O159" s="9"/>
      <c r="P159" s="9"/>
      <c r="Q159" s="9"/>
      <c r="R159" s="9"/>
      <c r="S159" s="9"/>
      <c r="T159" s="9"/>
      <c r="U159" s="9"/>
      <c r="V159" s="9"/>
      <c r="W159" s="9"/>
      <c r="X159" s="9"/>
      <c r="Y159" s="9"/>
    </row>
    <row r="160" ht="15.75" customHeight="1" spans="1:25">
      <c r="A160" s="9"/>
      <c r="B160" s="9"/>
      <c r="C160" s="9"/>
      <c r="D160" s="10"/>
      <c r="E160" s="9"/>
      <c r="F160" s="9"/>
      <c r="G160" s="9"/>
      <c r="H160" s="9"/>
      <c r="I160" s="9"/>
      <c r="J160" s="9"/>
      <c r="K160" s="9"/>
      <c r="L160" s="9"/>
      <c r="M160" s="9"/>
      <c r="N160" s="9"/>
      <c r="O160" s="9"/>
      <c r="P160" s="9"/>
      <c r="Q160" s="9"/>
      <c r="R160" s="9"/>
      <c r="S160" s="9"/>
      <c r="T160" s="9"/>
      <c r="U160" s="9"/>
      <c r="V160" s="9"/>
      <c r="W160" s="9"/>
      <c r="X160" s="9"/>
      <c r="Y160" s="9"/>
    </row>
    <row r="161" ht="15.75" customHeight="1" spans="1:25">
      <c r="A161" s="9"/>
      <c r="B161" s="9"/>
      <c r="C161" s="9"/>
      <c r="D161" s="10"/>
      <c r="E161" s="9"/>
      <c r="F161" s="9"/>
      <c r="G161" s="9"/>
      <c r="H161" s="9"/>
      <c r="I161" s="9"/>
      <c r="J161" s="9"/>
      <c r="K161" s="9"/>
      <c r="L161" s="9"/>
      <c r="M161" s="9"/>
      <c r="N161" s="9"/>
      <c r="O161" s="9"/>
      <c r="P161" s="9"/>
      <c r="Q161" s="9"/>
      <c r="R161" s="9"/>
      <c r="S161" s="9"/>
      <c r="T161" s="9"/>
      <c r="U161" s="9"/>
      <c r="V161" s="9"/>
      <c r="W161" s="9"/>
      <c r="X161" s="9"/>
      <c r="Y161" s="9"/>
    </row>
    <row r="162" ht="15.75" customHeight="1" spans="1:25">
      <c r="A162" s="9"/>
      <c r="B162" s="9"/>
      <c r="C162" s="9"/>
      <c r="D162" s="10"/>
      <c r="E162" s="9"/>
      <c r="F162" s="9"/>
      <c r="G162" s="9"/>
      <c r="H162" s="9"/>
      <c r="I162" s="9"/>
      <c r="J162" s="9"/>
      <c r="K162" s="9"/>
      <c r="L162" s="9"/>
      <c r="M162" s="9"/>
      <c r="N162" s="9"/>
      <c r="O162" s="9"/>
      <c r="P162" s="9"/>
      <c r="Q162" s="9"/>
      <c r="R162" s="9"/>
      <c r="S162" s="9"/>
      <c r="T162" s="9"/>
      <c r="U162" s="9"/>
      <c r="V162" s="9"/>
      <c r="W162" s="9"/>
      <c r="X162" s="9"/>
      <c r="Y162" s="9"/>
    </row>
    <row r="163" ht="15.75" customHeight="1" spans="1:25">
      <c r="A163" s="9"/>
      <c r="B163" s="9"/>
      <c r="C163" s="9"/>
      <c r="D163" s="10"/>
      <c r="E163" s="9"/>
      <c r="F163" s="9"/>
      <c r="G163" s="9"/>
      <c r="H163" s="9"/>
      <c r="I163" s="9"/>
      <c r="J163" s="9"/>
      <c r="K163" s="9"/>
      <c r="L163" s="9"/>
      <c r="M163" s="9"/>
      <c r="N163" s="9"/>
      <c r="O163" s="9"/>
      <c r="P163" s="9"/>
      <c r="Q163" s="9"/>
      <c r="R163" s="9"/>
      <c r="S163" s="9"/>
      <c r="T163" s="9"/>
      <c r="U163" s="9"/>
      <c r="V163" s="9"/>
      <c r="W163" s="9"/>
      <c r="X163" s="9"/>
      <c r="Y163" s="9"/>
    </row>
    <row r="164" ht="15.75" customHeight="1" spans="1:25">
      <c r="A164" s="9"/>
      <c r="B164" s="9"/>
      <c r="C164" s="9"/>
      <c r="D164" s="10"/>
      <c r="E164" s="9"/>
      <c r="F164" s="9"/>
      <c r="G164" s="9"/>
      <c r="H164" s="9"/>
      <c r="I164" s="9"/>
      <c r="J164" s="9"/>
      <c r="K164" s="9"/>
      <c r="L164" s="9"/>
      <c r="M164" s="9"/>
      <c r="N164" s="9"/>
      <c r="O164" s="9"/>
      <c r="P164" s="9"/>
      <c r="Q164" s="9"/>
      <c r="R164" s="9"/>
      <c r="S164" s="9"/>
      <c r="T164" s="9"/>
      <c r="U164" s="9"/>
      <c r="V164" s="9"/>
      <c r="W164" s="9"/>
      <c r="X164" s="9"/>
      <c r="Y164" s="9"/>
    </row>
    <row r="165" ht="15.75" customHeight="1" spans="1:25">
      <c r="A165" s="9"/>
      <c r="B165" s="9"/>
      <c r="C165" s="9"/>
      <c r="D165" s="10"/>
      <c r="E165" s="9"/>
      <c r="F165" s="9"/>
      <c r="G165" s="9"/>
      <c r="H165" s="9"/>
      <c r="I165" s="9"/>
      <c r="J165" s="9"/>
      <c r="K165" s="9"/>
      <c r="L165" s="9"/>
      <c r="M165" s="9"/>
      <c r="N165" s="9"/>
      <c r="O165" s="9"/>
      <c r="P165" s="9"/>
      <c r="Q165" s="9"/>
      <c r="R165" s="9"/>
      <c r="S165" s="9"/>
      <c r="T165" s="9"/>
      <c r="U165" s="9"/>
      <c r="V165" s="9"/>
      <c r="W165" s="9"/>
      <c r="X165" s="9"/>
      <c r="Y165" s="9"/>
    </row>
    <row r="166" ht="15.75" customHeight="1" spans="1:25">
      <c r="A166" s="9"/>
      <c r="B166" s="9"/>
      <c r="C166" s="9"/>
      <c r="D166" s="10"/>
      <c r="E166" s="9"/>
      <c r="F166" s="9"/>
      <c r="G166" s="9"/>
      <c r="H166" s="9"/>
      <c r="I166" s="9"/>
      <c r="J166" s="9"/>
      <c r="K166" s="9"/>
      <c r="L166" s="9"/>
      <c r="M166" s="9"/>
      <c r="N166" s="9"/>
      <c r="O166" s="9"/>
      <c r="P166" s="9"/>
      <c r="Q166" s="9"/>
      <c r="R166" s="9"/>
      <c r="S166" s="9"/>
      <c r="T166" s="9"/>
      <c r="U166" s="9"/>
      <c r="V166" s="9"/>
      <c r="W166" s="9"/>
      <c r="X166" s="9"/>
      <c r="Y166" s="9"/>
    </row>
    <row r="167" ht="15.75" customHeight="1" spans="1:25">
      <c r="A167" s="9"/>
      <c r="B167" s="9"/>
      <c r="C167" s="9"/>
      <c r="D167" s="10"/>
      <c r="E167" s="9"/>
      <c r="F167" s="9"/>
      <c r="G167" s="9"/>
      <c r="H167" s="9"/>
      <c r="I167" s="9"/>
      <c r="J167" s="9"/>
      <c r="K167" s="9"/>
      <c r="L167" s="9"/>
      <c r="M167" s="9"/>
      <c r="N167" s="9"/>
      <c r="O167" s="9"/>
      <c r="P167" s="9"/>
      <c r="Q167" s="9"/>
      <c r="R167" s="9"/>
      <c r="S167" s="9"/>
      <c r="T167" s="9"/>
      <c r="U167" s="9"/>
      <c r="V167" s="9"/>
      <c r="W167" s="9"/>
      <c r="X167" s="9"/>
      <c r="Y167" s="9"/>
    </row>
    <row r="168" ht="15.75" customHeight="1" spans="1:25">
      <c r="A168" s="9"/>
      <c r="B168" s="9"/>
      <c r="C168" s="9"/>
      <c r="D168" s="10"/>
      <c r="E168" s="9"/>
      <c r="F168" s="9"/>
      <c r="G168" s="9"/>
      <c r="H168" s="9"/>
      <c r="I168" s="9"/>
      <c r="J168" s="9"/>
      <c r="K168" s="9"/>
      <c r="L168" s="9"/>
      <c r="M168" s="9"/>
      <c r="N168" s="9"/>
      <c r="O168" s="9"/>
      <c r="P168" s="9"/>
      <c r="Q168" s="9"/>
      <c r="R168" s="9"/>
      <c r="S168" s="9"/>
      <c r="T168" s="9"/>
      <c r="U168" s="9"/>
      <c r="V168" s="9"/>
      <c r="W168" s="9"/>
      <c r="X168" s="9"/>
      <c r="Y168" s="9"/>
    </row>
    <row r="169" ht="15.75" customHeight="1" spans="1:25">
      <c r="A169" s="9"/>
      <c r="B169" s="9"/>
      <c r="C169" s="9"/>
      <c r="D169" s="10"/>
      <c r="E169" s="9"/>
      <c r="F169" s="9"/>
      <c r="G169" s="9"/>
      <c r="H169" s="9"/>
      <c r="I169" s="9"/>
      <c r="J169" s="9"/>
      <c r="K169" s="9"/>
      <c r="L169" s="9"/>
      <c r="M169" s="9"/>
      <c r="N169" s="9"/>
      <c r="O169" s="9"/>
      <c r="P169" s="9"/>
      <c r="Q169" s="9"/>
      <c r="R169" s="9"/>
      <c r="S169" s="9"/>
      <c r="T169" s="9"/>
      <c r="U169" s="9"/>
      <c r="V169" s="9"/>
      <c r="W169" s="9"/>
      <c r="X169" s="9"/>
      <c r="Y169" s="9"/>
    </row>
    <row r="170" ht="15.75" customHeight="1" spans="1:25">
      <c r="A170" s="9"/>
      <c r="B170" s="9"/>
      <c r="C170" s="9"/>
      <c r="D170" s="10"/>
      <c r="E170" s="9"/>
      <c r="F170" s="9"/>
      <c r="G170" s="9"/>
      <c r="H170" s="9"/>
      <c r="I170" s="9"/>
      <c r="J170" s="9"/>
      <c r="K170" s="9"/>
      <c r="L170" s="9"/>
      <c r="M170" s="9"/>
      <c r="N170" s="9"/>
      <c r="O170" s="9"/>
      <c r="P170" s="9"/>
      <c r="Q170" s="9"/>
      <c r="R170" s="9"/>
      <c r="S170" s="9"/>
      <c r="T170" s="9"/>
      <c r="U170" s="9"/>
      <c r="V170" s="9"/>
      <c r="W170" s="9"/>
      <c r="X170" s="9"/>
      <c r="Y170" s="9"/>
    </row>
    <row r="171" ht="15.75" customHeight="1" spans="1:25">
      <c r="A171" s="9"/>
      <c r="B171" s="9"/>
      <c r="C171" s="9"/>
      <c r="D171" s="10"/>
      <c r="E171" s="9"/>
      <c r="F171" s="9"/>
      <c r="G171" s="9"/>
      <c r="H171" s="9"/>
      <c r="I171" s="9"/>
      <c r="J171" s="9"/>
      <c r="K171" s="9"/>
      <c r="L171" s="9"/>
      <c r="M171" s="9"/>
      <c r="N171" s="9"/>
      <c r="O171" s="9"/>
      <c r="P171" s="9"/>
      <c r="Q171" s="9"/>
      <c r="R171" s="9"/>
      <c r="S171" s="9"/>
      <c r="T171" s="9"/>
      <c r="U171" s="9"/>
      <c r="V171" s="9"/>
      <c r="W171" s="9"/>
      <c r="X171" s="9"/>
      <c r="Y171" s="9"/>
    </row>
    <row r="172" ht="15.75" customHeight="1" spans="1:25">
      <c r="A172" s="9"/>
      <c r="B172" s="9"/>
      <c r="C172" s="9"/>
      <c r="D172" s="10"/>
      <c r="E172" s="9"/>
      <c r="F172" s="9"/>
      <c r="G172" s="9"/>
      <c r="H172" s="9"/>
      <c r="I172" s="9"/>
      <c r="J172" s="9"/>
      <c r="K172" s="9"/>
      <c r="L172" s="9"/>
      <c r="M172" s="9"/>
      <c r="N172" s="9"/>
      <c r="O172" s="9"/>
      <c r="P172" s="9"/>
      <c r="Q172" s="9"/>
      <c r="R172" s="9"/>
      <c r="S172" s="9"/>
      <c r="T172" s="9"/>
      <c r="U172" s="9"/>
      <c r="V172" s="9"/>
      <c r="W172" s="9"/>
      <c r="X172" s="9"/>
      <c r="Y172" s="9"/>
    </row>
    <row r="173" ht="15.75" customHeight="1" spans="1:25">
      <c r="A173" s="9"/>
      <c r="B173" s="9"/>
      <c r="C173" s="9"/>
      <c r="D173" s="10"/>
      <c r="E173" s="9"/>
      <c r="F173" s="9"/>
      <c r="G173" s="9"/>
      <c r="H173" s="9"/>
      <c r="I173" s="9"/>
      <c r="J173" s="9"/>
      <c r="K173" s="9"/>
      <c r="L173" s="9"/>
      <c r="M173" s="9"/>
      <c r="N173" s="9"/>
      <c r="O173" s="9"/>
      <c r="P173" s="9"/>
      <c r="Q173" s="9"/>
      <c r="R173" s="9"/>
      <c r="S173" s="9"/>
      <c r="T173" s="9"/>
      <c r="U173" s="9"/>
      <c r="V173" s="9"/>
      <c r="W173" s="9"/>
      <c r="X173" s="9"/>
      <c r="Y173" s="9"/>
    </row>
    <row r="174" ht="15.75" customHeight="1" spans="1:25">
      <c r="A174" s="9"/>
      <c r="B174" s="9"/>
      <c r="C174" s="9"/>
      <c r="D174" s="10"/>
      <c r="E174" s="9"/>
      <c r="F174" s="9"/>
      <c r="G174" s="9"/>
      <c r="H174" s="9"/>
      <c r="I174" s="9"/>
      <c r="J174" s="9"/>
      <c r="K174" s="9"/>
      <c r="L174" s="9"/>
      <c r="M174" s="9"/>
      <c r="N174" s="9"/>
      <c r="O174" s="9"/>
      <c r="P174" s="9"/>
      <c r="Q174" s="9"/>
      <c r="R174" s="9"/>
      <c r="S174" s="9"/>
      <c r="T174" s="9"/>
      <c r="U174" s="9"/>
      <c r="V174" s="9"/>
      <c r="W174" s="9"/>
      <c r="X174" s="9"/>
      <c r="Y174" s="9"/>
    </row>
    <row r="175" ht="15.75" customHeight="1" spans="1:25">
      <c r="A175" s="9"/>
      <c r="B175" s="9"/>
      <c r="C175" s="9"/>
      <c r="D175" s="10"/>
      <c r="E175" s="9"/>
      <c r="F175" s="9"/>
      <c r="G175" s="9"/>
      <c r="H175" s="9"/>
      <c r="I175" s="9"/>
      <c r="J175" s="9"/>
      <c r="K175" s="9"/>
      <c r="L175" s="9"/>
      <c r="M175" s="9"/>
      <c r="N175" s="9"/>
      <c r="O175" s="9"/>
      <c r="P175" s="9"/>
      <c r="Q175" s="9"/>
      <c r="R175" s="9"/>
      <c r="S175" s="9"/>
      <c r="T175" s="9"/>
      <c r="U175" s="9"/>
      <c r="V175" s="9"/>
      <c r="W175" s="9"/>
      <c r="X175" s="9"/>
      <c r="Y175" s="9"/>
    </row>
    <row r="176" ht="15.75" customHeight="1" spans="1:25">
      <c r="A176" s="9"/>
      <c r="B176" s="9"/>
      <c r="C176" s="9"/>
      <c r="D176" s="10"/>
      <c r="E176" s="9"/>
      <c r="F176" s="9"/>
      <c r="G176" s="9"/>
      <c r="H176" s="9"/>
      <c r="I176" s="9"/>
      <c r="J176" s="9"/>
      <c r="K176" s="9"/>
      <c r="L176" s="9"/>
      <c r="M176" s="9"/>
      <c r="N176" s="9"/>
      <c r="O176" s="9"/>
      <c r="P176" s="9"/>
      <c r="Q176" s="9"/>
      <c r="R176" s="9"/>
      <c r="S176" s="9"/>
      <c r="T176" s="9"/>
      <c r="U176" s="9"/>
      <c r="V176" s="9"/>
      <c r="W176" s="9"/>
      <c r="X176" s="9"/>
      <c r="Y176" s="9"/>
    </row>
    <row r="177" ht="15.75" customHeight="1" spans="1:25">
      <c r="A177" s="9"/>
      <c r="B177" s="9"/>
      <c r="C177" s="9"/>
      <c r="D177" s="10"/>
      <c r="E177" s="9"/>
      <c r="F177" s="9"/>
      <c r="G177" s="9"/>
      <c r="H177" s="9"/>
      <c r="I177" s="9"/>
      <c r="J177" s="9"/>
      <c r="K177" s="9"/>
      <c r="L177" s="9"/>
      <c r="M177" s="9"/>
      <c r="N177" s="9"/>
      <c r="O177" s="9"/>
      <c r="P177" s="9"/>
      <c r="Q177" s="9"/>
      <c r="R177" s="9"/>
      <c r="S177" s="9"/>
      <c r="T177" s="9"/>
      <c r="U177" s="9"/>
      <c r="V177" s="9"/>
      <c r="W177" s="9"/>
      <c r="X177" s="9"/>
      <c r="Y177" s="9"/>
    </row>
    <row r="178" ht="15.75" customHeight="1" spans="1:25">
      <c r="A178" s="9"/>
      <c r="B178" s="9"/>
      <c r="C178" s="9"/>
      <c r="D178" s="10"/>
      <c r="E178" s="9"/>
      <c r="F178" s="9"/>
      <c r="G178" s="9"/>
      <c r="H178" s="9"/>
      <c r="I178" s="9"/>
      <c r="J178" s="9"/>
      <c r="K178" s="9"/>
      <c r="L178" s="9"/>
      <c r="M178" s="9"/>
      <c r="N178" s="9"/>
      <c r="O178" s="9"/>
      <c r="P178" s="9"/>
      <c r="Q178" s="9"/>
      <c r="R178" s="9"/>
      <c r="S178" s="9"/>
      <c r="T178" s="9"/>
      <c r="U178" s="9"/>
      <c r="V178" s="9"/>
      <c r="W178" s="9"/>
      <c r="X178" s="9"/>
      <c r="Y178" s="9"/>
    </row>
    <row r="179" ht="15.75" customHeight="1" spans="1:25">
      <c r="A179" s="9"/>
      <c r="B179" s="9"/>
      <c r="C179" s="9"/>
      <c r="D179" s="10"/>
      <c r="E179" s="9"/>
      <c r="F179" s="9"/>
      <c r="G179" s="9"/>
      <c r="H179" s="9"/>
      <c r="I179" s="9"/>
      <c r="J179" s="9"/>
      <c r="K179" s="9"/>
      <c r="L179" s="9"/>
      <c r="M179" s="9"/>
      <c r="N179" s="9"/>
      <c r="O179" s="9"/>
      <c r="P179" s="9"/>
      <c r="Q179" s="9"/>
      <c r="R179" s="9"/>
      <c r="S179" s="9"/>
      <c r="T179" s="9"/>
      <c r="U179" s="9"/>
      <c r="V179" s="9"/>
      <c r="W179" s="9"/>
      <c r="X179" s="9"/>
      <c r="Y179" s="9"/>
    </row>
    <row r="180" ht="15.75" customHeight="1" spans="1:25">
      <c r="A180" s="9"/>
      <c r="B180" s="9"/>
      <c r="C180" s="9"/>
      <c r="D180" s="10"/>
      <c r="E180" s="9"/>
      <c r="F180" s="9"/>
      <c r="G180" s="9"/>
      <c r="H180" s="9"/>
      <c r="I180" s="9"/>
      <c r="J180" s="9"/>
      <c r="K180" s="9"/>
      <c r="L180" s="9"/>
      <c r="M180" s="9"/>
      <c r="N180" s="9"/>
      <c r="O180" s="9"/>
      <c r="P180" s="9"/>
      <c r="Q180" s="9"/>
      <c r="R180" s="9"/>
      <c r="S180" s="9"/>
      <c r="T180" s="9"/>
      <c r="U180" s="9"/>
      <c r="V180" s="9"/>
      <c r="W180" s="9"/>
      <c r="X180" s="9"/>
      <c r="Y180" s="9"/>
    </row>
    <row r="181" ht="15.75" customHeight="1" spans="1:25">
      <c r="A181" s="9"/>
      <c r="B181" s="9"/>
      <c r="C181" s="9"/>
      <c r="D181" s="10"/>
      <c r="E181" s="9"/>
      <c r="F181" s="9"/>
      <c r="G181" s="9"/>
      <c r="H181" s="9"/>
      <c r="I181" s="9"/>
      <c r="J181" s="9"/>
      <c r="K181" s="9"/>
      <c r="L181" s="9"/>
      <c r="M181" s="9"/>
      <c r="N181" s="9"/>
      <c r="O181" s="9"/>
      <c r="P181" s="9"/>
      <c r="Q181" s="9"/>
      <c r="R181" s="9"/>
      <c r="S181" s="9"/>
      <c r="T181" s="9"/>
      <c r="U181" s="9"/>
      <c r="V181" s="9"/>
      <c r="W181" s="9"/>
      <c r="X181" s="9"/>
      <c r="Y181" s="9"/>
    </row>
    <row r="182" ht="15.75" customHeight="1" spans="1:25">
      <c r="A182" s="9"/>
      <c r="B182" s="9"/>
      <c r="C182" s="9"/>
      <c r="D182" s="10"/>
      <c r="E182" s="9"/>
      <c r="F182" s="9"/>
      <c r="G182" s="9"/>
      <c r="H182" s="9"/>
      <c r="I182" s="9"/>
      <c r="J182" s="9"/>
      <c r="K182" s="9"/>
      <c r="L182" s="9"/>
      <c r="M182" s="9"/>
      <c r="N182" s="9"/>
      <c r="O182" s="9"/>
      <c r="P182" s="9"/>
      <c r="Q182" s="9"/>
      <c r="R182" s="9"/>
      <c r="S182" s="9"/>
      <c r="T182" s="9"/>
      <c r="U182" s="9"/>
      <c r="V182" s="9"/>
      <c r="W182" s="9"/>
      <c r="X182" s="9"/>
      <c r="Y182" s="9"/>
    </row>
    <row r="183" ht="15.75" customHeight="1" spans="1:25">
      <c r="A183" s="9"/>
      <c r="B183" s="9"/>
      <c r="C183" s="9"/>
      <c r="D183" s="10"/>
      <c r="E183" s="9"/>
      <c r="F183" s="9"/>
      <c r="G183" s="9"/>
      <c r="H183" s="9"/>
      <c r="I183" s="9"/>
      <c r="J183" s="9"/>
      <c r="K183" s="9"/>
      <c r="L183" s="9"/>
      <c r="M183" s="9"/>
      <c r="N183" s="9"/>
      <c r="O183" s="9"/>
      <c r="P183" s="9"/>
      <c r="Q183" s="9"/>
      <c r="R183" s="9"/>
      <c r="S183" s="9"/>
      <c r="T183" s="9"/>
      <c r="U183" s="9"/>
      <c r="V183" s="9"/>
      <c r="W183" s="9"/>
      <c r="X183" s="9"/>
      <c r="Y183" s="9"/>
    </row>
    <row r="184" ht="15.75" customHeight="1" spans="1:25">
      <c r="A184" s="9"/>
      <c r="B184" s="9"/>
      <c r="C184" s="9"/>
      <c r="D184" s="10"/>
      <c r="E184" s="9"/>
      <c r="F184" s="9"/>
      <c r="G184" s="9"/>
      <c r="H184" s="9"/>
      <c r="I184" s="9"/>
      <c r="J184" s="9"/>
      <c r="K184" s="9"/>
      <c r="L184" s="9"/>
      <c r="M184" s="9"/>
      <c r="N184" s="9"/>
      <c r="O184" s="9"/>
      <c r="P184" s="9"/>
      <c r="Q184" s="9"/>
      <c r="R184" s="9"/>
      <c r="S184" s="9"/>
      <c r="T184" s="9"/>
      <c r="U184" s="9"/>
      <c r="V184" s="9"/>
      <c r="W184" s="9"/>
      <c r="X184" s="9"/>
      <c r="Y184" s="9"/>
    </row>
    <row r="185" ht="15.75" customHeight="1" spans="1:25">
      <c r="A185" s="9"/>
      <c r="B185" s="9"/>
      <c r="C185" s="9"/>
      <c r="D185" s="10"/>
      <c r="E185" s="9"/>
      <c r="F185" s="9"/>
      <c r="G185" s="9"/>
      <c r="H185" s="9"/>
      <c r="I185" s="9"/>
      <c r="J185" s="9"/>
      <c r="K185" s="9"/>
      <c r="L185" s="9"/>
      <c r="M185" s="9"/>
      <c r="N185" s="9"/>
      <c r="O185" s="9"/>
      <c r="P185" s="9"/>
      <c r="Q185" s="9"/>
      <c r="R185" s="9"/>
      <c r="S185" s="9"/>
      <c r="T185" s="9"/>
      <c r="U185" s="9"/>
      <c r="V185" s="9"/>
      <c r="W185" s="9"/>
      <c r="X185" s="9"/>
      <c r="Y185" s="9"/>
    </row>
    <row r="186" ht="15.75" customHeight="1" spans="1:25">
      <c r="A186" s="9"/>
      <c r="B186" s="9"/>
      <c r="C186" s="9"/>
      <c r="D186" s="10"/>
      <c r="E186" s="9"/>
      <c r="F186" s="9"/>
      <c r="G186" s="9"/>
      <c r="H186" s="9"/>
      <c r="I186" s="9"/>
      <c r="J186" s="9"/>
      <c r="K186" s="9"/>
      <c r="L186" s="9"/>
      <c r="M186" s="9"/>
      <c r="N186" s="9"/>
      <c r="O186" s="9"/>
      <c r="P186" s="9"/>
      <c r="Q186" s="9"/>
      <c r="R186" s="9"/>
      <c r="S186" s="9"/>
      <c r="T186" s="9"/>
      <c r="U186" s="9"/>
      <c r="V186" s="9"/>
      <c r="W186" s="9"/>
      <c r="X186" s="9"/>
      <c r="Y186" s="9"/>
    </row>
    <row r="187" ht="15.75" customHeight="1" spans="1:25">
      <c r="A187" s="9"/>
      <c r="B187" s="9"/>
      <c r="C187" s="9"/>
      <c r="D187" s="10"/>
      <c r="E187" s="9"/>
      <c r="F187" s="9"/>
      <c r="G187" s="9"/>
      <c r="H187" s="9"/>
      <c r="I187" s="9"/>
      <c r="J187" s="9"/>
      <c r="K187" s="9"/>
      <c r="L187" s="9"/>
      <c r="M187" s="9"/>
      <c r="N187" s="9"/>
      <c r="O187" s="9"/>
      <c r="P187" s="9"/>
      <c r="Q187" s="9"/>
      <c r="R187" s="9"/>
      <c r="S187" s="9"/>
      <c r="T187" s="9"/>
      <c r="U187" s="9"/>
      <c r="V187" s="9"/>
      <c r="W187" s="9"/>
      <c r="X187" s="9"/>
      <c r="Y187" s="9"/>
    </row>
    <row r="188" ht="15.75" customHeight="1" spans="1:25">
      <c r="A188" s="9"/>
      <c r="B188" s="9"/>
      <c r="C188" s="9"/>
      <c r="D188" s="10"/>
      <c r="E188" s="9"/>
      <c r="F188" s="9"/>
      <c r="G188" s="9"/>
      <c r="H188" s="9"/>
      <c r="I188" s="9"/>
      <c r="J188" s="9"/>
      <c r="K188" s="9"/>
      <c r="L188" s="9"/>
      <c r="M188" s="9"/>
      <c r="N188" s="9"/>
      <c r="O188" s="9"/>
      <c r="P188" s="9"/>
      <c r="Q188" s="9"/>
      <c r="R188" s="9"/>
      <c r="S188" s="9"/>
      <c r="T188" s="9"/>
      <c r="U188" s="9"/>
      <c r="V188" s="9"/>
      <c r="W188" s="9"/>
      <c r="X188" s="9"/>
      <c r="Y188" s="9"/>
    </row>
    <row r="189" ht="15.75" customHeight="1" spans="1:25">
      <c r="A189" s="9"/>
      <c r="B189" s="9"/>
      <c r="C189" s="9"/>
      <c r="D189" s="10"/>
      <c r="E189" s="9"/>
      <c r="F189" s="9"/>
      <c r="G189" s="9"/>
      <c r="H189" s="9"/>
      <c r="I189" s="9"/>
      <c r="J189" s="9"/>
      <c r="K189" s="9"/>
      <c r="L189" s="9"/>
      <c r="M189" s="9"/>
      <c r="N189" s="9"/>
      <c r="O189" s="9"/>
      <c r="P189" s="9"/>
      <c r="Q189" s="9"/>
      <c r="R189" s="9"/>
      <c r="S189" s="9"/>
      <c r="T189" s="9"/>
      <c r="U189" s="9"/>
      <c r="V189" s="9"/>
      <c r="W189" s="9"/>
      <c r="X189" s="9"/>
      <c r="Y189" s="9"/>
    </row>
    <row r="190" ht="15.75" customHeight="1" spans="1:25">
      <c r="A190" s="9"/>
      <c r="B190" s="9"/>
      <c r="C190" s="9"/>
      <c r="D190" s="10"/>
      <c r="E190" s="9"/>
      <c r="F190" s="9"/>
      <c r="G190" s="9"/>
      <c r="H190" s="9"/>
      <c r="I190" s="9"/>
      <c r="J190" s="9"/>
      <c r="K190" s="9"/>
      <c r="L190" s="9"/>
      <c r="M190" s="9"/>
      <c r="N190" s="9"/>
      <c r="O190" s="9"/>
      <c r="P190" s="9"/>
      <c r="Q190" s="9"/>
      <c r="R190" s="9"/>
      <c r="S190" s="9"/>
      <c r="T190" s="9"/>
      <c r="U190" s="9"/>
      <c r="V190" s="9"/>
      <c r="W190" s="9"/>
      <c r="X190" s="9"/>
      <c r="Y190" s="9"/>
    </row>
    <row r="191" ht="15.75" customHeight="1" spans="1:25">
      <c r="A191" s="9"/>
      <c r="B191" s="9"/>
      <c r="C191" s="9"/>
      <c r="D191" s="10"/>
      <c r="E191" s="9"/>
      <c r="F191" s="9"/>
      <c r="G191" s="9"/>
      <c r="H191" s="9"/>
      <c r="I191" s="9"/>
      <c r="J191" s="9"/>
      <c r="K191" s="9"/>
      <c r="L191" s="9"/>
      <c r="M191" s="9"/>
      <c r="N191" s="9"/>
      <c r="O191" s="9"/>
      <c r="P191" s="9"/>
      <c r="Q191" s="9"/>
      <c r="R191" s="9"/>
      <c r="S191" s="9"/>
      <c r="T191" s="9"/>
      <c r="U191" s="9"/>
      <c r="V191" s="9"/>
      <c r="W191" s="9"/>
      <c r="X191" s="9"/>
      <c r="Y191" s="9"/>
    </row>
    <row r="192" ht="15.75" customHeight="1" spans="1:25">
      <c r="A192" s="9"/>
      <c r="B192" s="9"/>
      <c r="C192" s="9"/>
      <c r="D192" s="10"/>
      <c r="E192" s="9"/>
      <c r="F192" s="9"/>
      <c r="G192" s="9"/>
      <c r="H192" s="9"/>
      <c r="I192" s="9"/>
      <c r="J192" s="9"/>
      <c r="K192" s="9"/>
      <c r="L192" s="9"/>
      <c r="M192" s="9"/>
      <c r="N192" s="9"/>
      <c r="O192" s="9"/>
      <c r="P192" s="9"/>
      <c r="Q192" s="9"/>
      <c r="R192" s="9"/>
      <c r="S192" s="9"/>
      <c r="T192" s="9"/>
      <c r="U192" s="9"/>
      <c r="V192" s="9"/>
      <c r="W192" s="9"/>
      <c r="X192" s="9"/>
      <c r="Y192" s="9"/>
    </row>
    <row r="193" ht="15.75" customHeight="1" spans="1:25">
      <c r="A193" s="9"/>
      <c r="B193" s="9"/>
      <c r="C193" s="9"/>
      <c r="D193" s="10"/>
      <c r="E193" s="9"/>
      <c r="F193" s="9"/>
      <c r="G193" s="9"/>
      <c r="H193" s="9"/>
      <c r="I193" s="9"/>
      <c r="J193" s="9"/>
      <c r="K193" s="9"/>
      <c r="L193" s="9"/>
      <c r="M193" s="9"/>
      <c r="N193" s="9"/>
      <c r="O193" s="9"/>
      <c r="P193" s="9"/>
      <c r="Q193" s="9"/>
      <c r="R193" s="9"/>
      <c r="S193" s="9"/>
      <c r="T193" s="9"/>
      <c r="U193" s="9"/>
      <c r="V193" s="9"/>
      <c r="W193" s="9"/>
      <c r="X193" s="9"/>
      <c r="Y193" s="9"/>
    </row>
    <row r="194" ht="15.75" customHeight="1" spans="1:25">
      <c r="A194" s="9"/>
      <c r="B194" s="9"/>
      <c r="C194" s="9"/>
      <c r="D194" s="10"/>
      <c r="E194" s="9"/>
      <c r="F194" s="9"/>
      <c r="G194" s="9"/>
      <c r="H194" s="9"/>
      <c r="I194" s="9"/>
      <c r="J194" s="9"/>
      <c r="K194" s="9"/>
      <c r="L194" s="9"/>
      <c r="M194" s="9"/>
      <c r="N194" s="9"/>
      <c r="O194" s="9"/>
      <c r="P194" s="9"/>
      <c r="Q194" s="9"/>
      <c r="R194" s="9"/>
      <c r="S194" s="9"/>
      <c r="T194" s="9"/>
      <c r="U194" s="9"/>
      <c r="V194" s="9"/>
      <c r="W194" s="9"/>
      <c r="X194" s="9"/>
      <c r="Y194" s="9"/>
    </row>
    <row r="195" ht="15.75" customHeight="1" spans="1:25">
      <c r="A195" s="9"/>
      <c r="B195" s="9"/>
      <c r="C195" s="9"/>
      <c r="D195" s="10"/>
      <c r="E195" s="9"/>
      <c r="F195" s="9"/>
      <c r="G195" s="9"/>
      <c r="H195" s="9"/>
      <c r="I195" s="9"/>
      <c r="J195" s="9"/>
      <c r="K195" s="9"/>
      <c r="L195" s="9"/>
      <c r="M195" s="9"/>
      <c r="N195" s="9"/>
      <c r="O195" s="9"/>
      <c r="P195" s="9"/>
      <c r="Q195" s="9"/>
      <c r="R195" s="9"/>
      <c r="S195" s="9"/>
      <c r="T195" s="9"/>
      <c r="U195" s="9"/>
      <c r="V195" s="9"/>
      <c r="W195" s="9"/>
      <c r="X195" s="9"/>
      <c r="Y195" s="9"/>
    </row>
    <row r="196" ht="15.75" customHeight="1" spans="1:25">
      <c r="A196" s="9"/>
      <c r="B196" s="9"/>
      <c r="C196" s="9"/>
      <c r="D196" s="10"/>
      <c r="E196" s="9"/>
      <c r="F196" s="9"/>
      <c r="G196" s="9"/>
      <c r="H196" s="9"/>
      <c r="I196" s="9"/>
      <c r="J196" s="9"/>
      <c r="K196" s="9"/>
      <c r="L196" s="9"/>
      <c r="M196" s="9"/>
      <c r="N196" s="9"/>
      <c r="O196" s="9"/>
      <c r="P196" s="9"/>
      <c r="Q196" s="9"/>
      <c r="R196" s="9"/>
      <c r="S196" s="9"/>
      <c r="T196" s="9"/>
      <c r="U196" s="9"/>
      <c r="V196" s="9"/>
      <c r="W196" s="9"/>
      <c r="X196" s="9"/>
      <c r="Y196" s="9"/>
    </row>
    <row r="197" ht="15.75" customHeight="1" spans="1:25">
      <c r="A197" s="9"/>
      <c r="B197" s="9"/>
      <c r="C197" s="9"/>
      <c r="D197" s="10"/>
      <c r="E197" s="9"/>
      <c r="F197" s="9"/>
      <c r="G197" s="9"/>
      <c r="H197" s="9"/>
      <c r="I197" s="9"/>
      <c r="J197" s="9"/>
      <c r="K197" s="9"/>
      <c r="L197" s="9"/>
      <c r="M197" s="9"/>
      <c r="N197" s="9"/>
      <c r="O197" s="9"/>
      <c r="P197" s="9"/>
      <c r="Q197" s="9"/>
      <c r="R197" s="9"/>
      <c r="S197" s="9"/>
      <c r="T197" s="9"/>
      <c r="U197" s="9"/>
      <c r="V197" s="9"/>
      <c r="W197" s="9"/>
      <c r="X197" s="9"/>
      <c r="Y197" s="9"/>
    </row>
    <row r="198" ht="15.75" customHeight="1" spans="1:25">
      <c r="A198" s="9"/>
      <c r="B198" s="9"/>
      <c r="C198" s="9"/>
      <c r="D198" s="10"/>
      <c r="E198" s="9"/>
      <c r="F198" s="9"/>
      <c r="G198" s="9"/>
      <c r="H198" s="9"/>
      <c r="I198" s="9"/>
      <c r="J198" s="9"/>
      <c r="K198" s="9"/>
      <c r="L198" s="9"/>
      <c r="M198" s="9"/>
      <c r="N198" s="9"/>
      <c r="O198" s="9"/>
      <c r="P198" s="9"/>
      <c r="Q198" s="9"/>
      <c r="R198" s="9"/>
      <c r="S198" s="9"/>
      <c r="T198" s="9"/>
      <c r="U198" s="9"/>
      <c r="V198" s="9"/>
      <c r="W198" s="9"/>
      <c r="X198" s="9"/>
      <c r="Y198" s="9"/>
    </row>
    <row r="199" ht="15.75" customHeight="1" spans="1:25">
      <c r="A199" s="9"/>
      <c r="B199" s="9"/>
      <c r="C199" s="9"/>
      <c r="D199" s="10"/>
      <c r="E199" s="9"/>
      <c r="F199" s="9"/>
      <c r="G199" s="9"/>
      <c r="H199" s="9"/>
      <c r="I199" s="9"/>
      <c r="J199" s="9"/>
      <c r="K199" s="9"/>
      <c r="L199" s="9"/>
      <c r="M199" s="9"/>
      <c r="N199" s="9"/>
      <c r="O199" s="9"/>
      <c r="P199" s="9"/>
      <c r="Q199" s="9"/>
      <c r="R199" s="9"/>
      <c r="S199" s="9"/>
      <c r="T199" s="9"/>
      <c r="U199" s="9"/>
      <c r="V199" s="9"/>
      <c r="W199" s="9"/>
      <c r="X199" s="9"/>
      <c r="Y199" s="9"/>
    </row>
    <row r="200" ht="15.75" customHeight="1" spans="1:25">
      <c r="A200" s="9"/>
      <c r="B200" s="9"/>
      <c r="C200" s="9"/>
      <c r="D200" s="10"/>
      <c r="E200" s="9"/>
      <c r="F200" s="9"/>
      <c r="G200" s="9"/>
      <c r="H200" s="9"/>
      <c r="I200" s="9"/>
      <c r="J200" s="9"/>
      <c r="K200" s="9"/>
      <c r="L200" s="9"/>
      <c r="M200" s="9"/>
      <c r="N200" s="9"/>
      <c r="O200" s="9"/>
      <c r="P200" s="9"/>
      <c r="Q200" s="9"/>
      <c r="R200" s="9"/>
      <c r="S200" s="9"/>
      <c r="T200" s="9"/>
      <c r="U200" s="9"/>
      <c r="V200" s="9"/>
      <c r="W200" s="9"/>
      <c r="X200" s="9"/>
      <c r="Y200" s="9"/>
    </row>
    <row r="201" ht="15.75" customHeight="1" spans="1:25">
      <c r="A201" s="9"/>
      <c r="B201" s="9"/>
      <c r="C201" s="9"/>
      <c r="D201" s="10"/>
      <c r="E201" s="9"/>
      <c r="F201" s="9"/>
      <c r="G201" s="9"/>
      <c r="H201" s="9"/>
      <c r="I201" s="9"/>
      <c r="J201" s="9"/>
      <c r="K201" s="9"/>
      <c r="L201" s="9"/>
      <c r="M201" s="9"/>
      <c r="N201" s="9"/>
      <c r="O201" s="9"/>
      <c r="P201" s="9"/>
      <c r="Q201" s="9"/>
      <c r="R201" s="9"/>
      <c r="S201" s="9"/>
      <c r="T201" s="9"/>
      <c r="U201" s="9"/>
      <c r="V201" s="9"/>
      <c r="W201" s="9"/>
      <c r="X201" s="9"/>
      <c r="Y201" s="9"/>
    </row>
    <row r="202" ht="15.75" customHeight="1" spans="1:25">
      <c r="A202" s="9"/>
      <c r="B202" s="9"/>
      <c r="C202" s="9"/>
      <c r="D202" s="10"/>
      <c r="E202" s="9"/>
      <c r="F202" s="9"/>
      <c r="G202" s="9"/>
      <c r="H202" s="9"/>
      <c r="I202" s="9"/>
      <c r="J202" s="9"/>
      <c r="K202" s="9"/>
      <c r="L202" s="9"/>
      <c r="M202" s="9"/>
      <c r="N202" s="9"/>
      <c r="O202" s="9"/>
      <c r="P202" s="9"/>
      <c r="Q202" s="9"/>
      <c r="R202" s="9"/>
      <c r="S202" s="9"/>
      <c r="T202" s="9"/>
      <c r="U202" s="9"/>
      <c r="V202" s="9"/>
      <c r="W202" s="9"/>
      <c r="X202" s="9"/>
      <c r="Y202" s="9"/>
    </row>
    <row r="203" ht="15.75" customHeight="1" spans="1:25">
      <c r="A203" s="9"/>
      <c r="B203" s="9"/>
      <c r="C203" s="9"/>
      <c r="D203" s="10"/>
      <c r="E203" s="9"/>
      <c r="F203" s="9"/>
      <c r="G203" s="9"/>
      <c r="H203" s="9"/>
      <c r="I203" s="9"/>
      <c r="J203" s="9"/>
      <c r="K203" s="9"/>
      <c r="L203" s="9"/>
      <c r="M203" s="9"/>
      <c r="N203" s="9"/>
      <c r="O203" s="9"/>
      <c r="P203" s="9"/>
      <c r="Q203" s="9"/>
      <c r="R203" s="9"/>
      <c r="S203" s="9"/>
      <c r="T203" s="9"/>
      <c r="U203" s="9"/>
      <c r="V203" s="9"/>
      <c r="W203" s="9"/>
      <c r="X203" s="9"/>
      <c r="Y203" s="9"/>
    </row>
    <row r="204" ht="15.75" customHeight="1" spans="1:25">
      <c r="A204" s="9"/>
      <c r="B204" s="9"/>
      <c r="C204" s="9"/>
      <c r="D204" s="10"/>
      <c r="E204" s="9"/>
      <c r="F204" s="9"/>
      <c r="G204" s="9"/>
      <c r="H204" s="9"/>
      <c r="I204" s="9"/>
      <c r="J204" s="9"/>
      <c r="K204" s="9"/>
      <c r="L204" s="9"/>
      <c r="M204" s="9"/>
      <c r="N204" s="9"/>
      <c r="O204" s="9"/>
      <c r="P204" s="9"/>
      <c r="Q204" s="9"/>
      <c r="R204" s="9"/>
      <c r="S204" s="9"/>
      <c r="T204" s="9"/>
      <c r="U204" s="9"/>
      <c r="V204" s="9"/>
      <c r="W204" s="9"/>
      <c r="X204" s="9"/>
      <c r="Y204" s="9"/>
    </row>
    <row r="205" ht="15.75" customHeight="1" spans="1:25">
      <c r="A205" s="9"/>
      <c r="B205" s="9"/>
      <c r="C205" s="9"/>
      <c r="D205" s="10"/>
      <c r="E205" s="9"/>
      <c r="F205" s="9"/>
      <c r="G205" s="9"/>
      <c r="H205" s="9"/>
      <c r="I205" s="9"/>
      <c r="J205" s="9"/>
      <c r="K205" s="9"/>
      <c r="L205" s="9"/>
      <c r="M205" s="9"/>
      <c r="N205" s="9"/>
      <c r="O205" s="9"/>
      <c r="P205" s="9"/>
      <c r="Q205" s="9"/>
      <c r="R205" s="9"/>
      <c r="S205" s="9"/>
      <c r="T205" s="9"/>
      <c r="U205" s="9"/>
      <c r="V205" s="9"/>
      <c r="W205" s="9"/>
      <c r="X205" s="9"/>
      <c r="Y205" s="9"/>
    </row>
    <row r="206" ht="15.75" customHeight="1" spans="1:25">
      <c r="A206" s="9"/>
      <c r="B206" s="9"/>
      <c r="C206" s="9"/>
      <c r="D206" s="10"/>
      <c r="E206" s="9"/>
      <c r="F206" s="9"/>
      <c r="G206" s="9"/>
      <c r="H206" s="9"/>
      <c r="I206" s="9"/>
      <c r="J206" s="9"/>
      <c r="K206" s="9"/>
      <c r="L206" s="9"/>
      <c r="M206" s="9"/>
      <c r="N206" s="9"/>
      <c r="O206" s="9"/>
      <c r="P206" s="9"/>
      <c r="Q206" s="9"/>
      <c r="R206" s="9"/>
      <c r="S206" s="9"/>
      <c r="T206" s="9"/>
      <c r="U206" s="9"/>
      <c r="V206" s="9"/>
      <c r="W206" s="9"/>
      <c r="X206" s="9"/>
      <c r="Y206" s="9"/>
    </row>
    <row r="207" ht="15.75" customHeight="1" spans="1:25">
      <c r="A207" s="9"/>
      <c r="B207" s="9"/>
      <c r="C207" s="9"/>
      <c r="D207" s="10"/>
      <c r="E207" s="9"/>
      <c r="F207" s="9"/>
      <c r="G207" s="9"/>
      <c r="H207" s="9"/>
      <c r="I207" s="9"/>
      <c r="J207" s="9"/>
      <c r="K207" s="9"/>
      <c r="L207" s="9"/>
      <c r="M207" s="9"/>
      <c r="N207" s="9"/>
      <c r="O207" s="9"/>
      <c r="P207" s="9"/>
      <c r="Q207" s="9"/>
      <c r="R207" s="9"/>
      <c r="S207" s="9"/>
      <c r="T207" s="9"/>
      <c r="U207" s="9"/>
      <c r="V207" s="9"/>
      <c r="W207" s="9"/>
      <c r="X207" s="9"/>
      <c r="Y207" s="9"/>
    </row>
    <row r="208" ht="15.75" customHeight="1" spans="1:25">
      <c r="A208" s="9"/>
      <c r="B208" s="9"/>
      <c r="C208" s="9"/>
      <c r="D208" s="10"/>
      <c r="E208" s="9"/>
      <c r="F208" s="9"/>
      <c r="G208" s="9"/>
      <c r="H208" s="9"/>
      <c r="I208" s="9"/>
      <c r="J208" s="9"/>
      <c r="K208" s="9"/>
      <c r="L208" s="9"/>
      <c r="M208" s="9"/>
      <c r="N208" s="9"/>
      <c r="O208" s="9"/>
      <c r="P208" s="9"/>
      <c r="Q208" s="9"/>
      <c r="R208" s="9"/>
      <c r="S208" s="9"/>
      <c r="T208" s="9"/>
      <c r="U208" s="9"/>
      <c r="V208" s="9"/>
      <c r="W208" s="9"/>
      <c r="X208" s="9"/>
      <c r="Y208" s="9"/>
    </row>
    <row r="209" ht="15.75" customHeight="1" spans="1:25">
      <c r="A209" s="9"/>
      <c r="B209" s="9"/>
      <c r="C209" s="9"/>
      <c r="D209" s="10"/>
      <c r="E209" s="9"/>
      <c r="F209" s="9"/>
      <c r="G209" s="9"/>
      <c r="H209" s="9"/>
      <c r="I209" s="9"/>
      <c r="J209" s="9"/>
      <c r="K209" s="9"/>
      <c r="L209" s="9"/>
      <c r="M209" s="9"/>
      <c r="N209" s="9"/>
      <c r="O209" s="9"/>
      <c r="P209" s="9"/>
      <c r="Q209" s="9"/>
      <c r="R209" s="9"/>
      <c r="S209" s="9"/>
      <c r="T209" s="9"/>
      <c r="U209" s="9"/>
      <c r="V209" s="9"/>
      <c r="W209" s="9"/>
      <c r="X209" s="9"/>
      <c r="Y209" s="9"/>
    </row>
    <row r="210" ht="15.75" customHeight="1" spans="1:25">
      <c r="A210" s="9"/>
      <c r="B210" s="9"/>
      <c r="C210" s="9"/>
      <c r="D210" s="10"/>
      <c r="E210" s="9"/>
      <c r="F210" s="9"/>
      <c r="G210" s="9"/>
      <c r="H210" s="9"/>
      <c r="I210" s="9"/>
      <c r="J210" s="9"/>
      <c r="K210" s="9"/>
      <c r="L210" s="9"/>
      <c r="M210" s="9"/>
      <c r="N210" s="9"/>
      <c r="O210" s="9"/>
      <c r="P210" s="9"/>
      <c r="Q210" s="9"/>
      <c r="R210" s="9"/>
      <c r="S210" s="9"/>
      <c r="T210" s="9"/>
      <c r="U210" s="9"/>
      <c r="V210" s="9"/>
      <c r="W210" s="9"/>
      <c r="X210" s="9"/>
      <c r="Y210" s="9"/>
    </row>
    <row r="211" ht="15.75" customHeight="1" spans="1:25">
      <c r="A211" s="9"/>
      <c r="B211" s="9"/>
      <c r="C211" s="9"/>
      <c r="D211" s="10"/>
      <c r="E211" s="9"/>
      <c r="F211" s="9"/>
      <c r="G211" s="9"/>
      <c r="H211" s="9"/>
      <c r="I211" s="9"/>
      <c r="J211" s="9"/>
      <c r="K211" s="9"/>
      <c r="L211" s="9"/>
      <c r="M211" s="9"/>
      <c r="N211" s="9"/>
      <c r="O211" s="9"/>
      <c r="P211" s="9"/>
      <c r="Q211" s="9"/>
      <c r="R211" s="9"/>
      <c r="S211" s="9"/>
      <c r="T211" s="9"/>
      <c r="U211" s="9"/>
      <c r="V211" s="9"/>
      <c r="W211" s="9"/>
      <c r="X211" s="9"/>
      <c r="Y211" s="9"/>
    </row>
    <row r="212" ht="15.75" customHeight="1" spans="1:25">
      <c r="A212" s="9"/>
      <c r="B212" s="9"/>
      <c r="C212" s="9"/>
      <c r="D212" s="10"/>
      <c r="E212" s="9"/>
      <c r="F212" s="9"/>
      <c r="G212" s="9"/>
      <c r="H212" s="9"/>
      <c r="I212" s="9"/>
      <c r="J212" s="9"/>
      <c r="K212" s="9"/>
      <c r="L212" s="9"/>
      <c r="M212" s="9"/>
      <c r="N212" s="9"/>
      <c r="O212" s="9"/>
      <c r="P212" s="9"/>
      <c r="Q212" s="9"/>
      <c r="R212" s="9"/>
      <c r="S212" s="9"/>
      <c r="T212" s="9"/>
      <c r="U212" s="9"/>
      <c r="V212" s="9"/>
      <c r="W212" s="9"/>
      <c r="X212" s="9"/>
      <c r="Y212" s="9"/>
    </row>
    <row r="213" ht="15.75" customHeight="1" spans="1:25">
      <c r="A213" s="9"/>
      <c r="B213" s="9"/>
      <c r="C213" s="9"/>
      <c r="D213" s="10"/>
      <c r="E213" s="9"/>
      <c r="F213" s="9"/>
      <c r="G213" s="9"/>
      <c r="H213" s="9"/>
      <c r="I213" s="9"/>
      <c r="J213" s="9"/>
      <c r="K213" s="9"/>
      <c r="L213" s="9"/>
      <c r="M213" s="9"/>
      <c r="N213" s="9"/>
      <c r="O213" s="9"/>
      <c r="P213" s="9"/>
      <c r="Q213" s="9"/>
      <c r="R213" s="9"/>
      <c r="S213" s="9"/>
      <c r="T213" s="9"/>
      <c r="U213" s="9"/>
      <c r="V213" s="9"/>
      <c r="W213" s="9"/>
      <c r="X213" s="9"/>
      <c r="Y213" s="9"/>
    </row>
    <row r="214" ht="15.75" customHeight="1" spans="1:25">
      <c r="A214" s="9"/>
      <c r="B214" s="9"/>
      <c r="C214" s="9"/>
      <c r="D214" s="10"/>
      <c r="E214" s="9"/>
      <c r="F214" s="9"/>
      <c r="G214" s="9"/>
      <c r="H214" s="9"/>
      <c r="I214" s="9"/>
      <c r="J214" s="9"/>
      <c r="K214" s="9"/>
      <c r="L214" s="9"/>
      <c r="M214" s="9"/>
      <c r="N214" s="9"/>
      <c r="O214" s="9"/>
      <c r="P214" s="9"/>
      <c r="Q214" s="9"/>
      <c r="R214" s="9"/>
      <c r="S214" s="9"/>
      <c r="T214" s="9"/>
      <c r="U214" s="9"/>
      <c r="V214" s="9"/>
      <c r="W214" s="9"/>
      <c r="X214" s="9"/>
      <c r="Y214" s="9"/>
    </row>
    <row r="215" ht="15.75" customHeight="1" spans="1:25">
      <c r="A215" s="9"/>
      <c r="B215" s="9"/>
      <c r="C215" s="9"/>
      <c r="D215" s="10"/>
      <c r="E215" s="9"/>
      <c r="F215" s="9"/>
      <c r="G215" s="9"/>
      <c r="H215" s="9"/>
      <c r="I215" s="9"/>
      <c r="J215" s="9"/>
      <c r="K215" s="9"/>
      <c r="L215" s="9"/>
      <c r="M215" s="9"/>
      <c r="N215" s="9"/>
      <c r="O215" s="9"/>
      <c r="P215" s="9"/>
      <c r="Q215" s="9"/>
      <c r="R215" s="9"/>
      <c r="S215" s="9"/>
      <c r="T215" s="9"/>
      <c r="U215" s="9"/>
      <c r="V215" s="9"/>
      <c r="W215" s="9"/>
      <c r="X215" s="9"/>
      <c r="Y215" s="9"/>
    </row>
    <row r="216" ht="15.75" customHeight="1" spans="1:25">
      <c r="A216" s="9"/>
      <c r="B216" s="9"/>
      <c r="C216" s="9"/>
      <c r="D216" s="10"/>
      <c r="E216" s="9"/>
      <c r="F216" s="9"/>
      <c r="G216" s="9"/>
      <c r="H216" s="9"/>
      <c r="I216" s="9"/>
      <c r="J216" s="9"/>
      <c r="K216" s="9"/>
      <c r="L216" s="9"/>
      <c r="M216" s="9"/>
      <c r="N216" s="9"/>
      <c r="O216" s="9"/>
      <c r="P216" s="9"/>
      <c r="Q216" s="9"/>
      <c r="R216" s="9"/>
      <c r="S216" s="9"/>
      <c r="T216" s="9"/>
      <c r="U216" s="9"/>
      <c r="V216" s="9"/>
      <c r="W216" s="9"/>
      <c r="X216" s="9"/>
      <c r="Y216" s="9"/>
    </row>
    <row r="217" ht="15.75" customHeight="1" spans="1:25">
      <c r="A217" s="9"/>
      <c r="B217" s="9"/>
      <c r="C217" s="9"/>
      <c r="D217" s="10"/>
      <c r="E217" s="9"/>
      <c r="F217" s="9"/>
      <c r="G217" s="9"/>
      <c r="H217" s="9"/>
      <c r="I217" s="9"/>
      <c r="J217" s="9"/>
      <c r="K217" s="9"/>
      <c r="L217" s="9"/>
      <c r="M217" s="9"/>
      <c r="N217" s="9"/>
      <c r="O217" s="9"/>
      <c r="P217" s="9"/>
      <c r="Q217" s="9"/>
      <c r="R217" s="9"/>
      <c r="S217" s="9"/>
      <c r="T217" s="9"/>
      <c r="U217" s="9"/>
      <c r="V217" s="9"/>
      <c r="W217" s="9"/>
      <c r="X217" s="9"/>
      <c r="Y217" s="9"/>
    </row>
    <row r="218" ht="15.75" customHeight="1" spans="1:25">
      <c r="A218" s="9"/>
      <c r="B218" s="9"/>
      <c r="C218" s="9"/>
      <c r="D218" s="10"/>
      <c r="E218" s="9"/>
      <c r="F218" s="9"/>
      <c r="G218" s="9"/>
      <c r="H218" s="9"/>
      <c r="I218" s="9"/>
      <c r="J218" s="9"/>
      <c r="K218" s="9"/>
      <c r="L218" s="9"/>
      <c r="M218" s="9"/>
      <c r="N218" s="9"/>
      <c r="O218" s="9"/>
      <c r="P218" s="9"/>
      <c r="Q218" s="9"/>
      <c r="R218" s="9"/>
      <c r="S218" s="9"/>
      <c r="T218" s="9"/>
      <c r="U218" s="9"/>
      <c r="V218" s="9"/>
      <c r="W218" s="9"/>
      <c r="X218" s="9"/>
      <c r="Y218" s="9"/>
    </row>
    <row r="219" ht="15.75" customHeight="1" spans="1:25">
      <c r="A219" s="9"/>
      <c r="B219" s="9"/>
      <c r="C219" s="9"/>
      <c r="D219" s="10"/>
      <c r="E219" s="9"/>
      <c r="F219" s="9"/>
      <c r="G219" s="9"/>
      <c r="H219" s="9"/>
      <c r="I219" s="9"/>
      <c r="J219" s="9"/>
      <c r="K219" s="9"/>
      <c r="L219" s="9"/>
      <c r="M219" s="9"/>
      <c r="N219" s="9"/>
      <c r="O219" s="9"/>
      <c r="P219" s="9"/>
      <c r="Q219" s="9"/>
      <c r="R219" s="9"/>
      <c r="S219" s="9"/>
      <c r="T219" s="9"/>
      <c r="U219" s="9"/>
      <c r="V219" s="9"/>
      <c r="W219" s="9"/>
      <c r="X219" s="9"/>
      <c r="Y219" s="9"/>
    </row>
    <row r="220" ht="15.75" customHeight="1" spans="1:25">
      <c r="A220" s="9"/>
      <c r="B220" s="9"/>
      <c r="C220" s="9"/>
      <c r="D220" s="10"/>
      <c r="E220" s="9"/>
      <c r="F220" s="9"/>
      <c r="G220" s="9"/>
      <c r="H220" s="9"/>
      <c r="I220" s="9"/>
      <c r="J220" s="9"/>
      <c r="K220" s="9"/>
      <c r="L220" s="9"/>
      <c r="M220" s="9"/>
      <c r="N220" s="9"/>
      <c r="O220" s="9"/>
      <c r="P220" s="9"/>
      <c r="Q220" s="9"/>
      <c r="R220" s="9"/>
      <c r="S220" s="9"/>
      <c r="T220" s="9"/>
      <c r="U220" s="9"/>
      <c r="V220" s="9"/>
      <c r="W220" s="9"/>
      <c r="X220" s="9"/>
      <c r="Y220" s="9"/>
    </row>
    <row r="221" ht="15.75" customHeight="1" spans="1:25">
      <c r="A221" s="9"/>
      <c r="B221" s="9"/>
      <c r="C221" s="9"/>
      <c r="D221" s="10"/>
      <c r="E221" s="9"/>
      <c r="F221" s="9"/>
      <c r="G221" s="9"/>
      <c r="H221" s="9"/>
      <c r="I221" s="9"/>
      <c r="J221" s="9"/>
      <c r="K221" s="9"/>
      <c r="L221" s="9"/>
      <c r="M221" s="9"/>
      <c r="N221" s="9"/>
      <c r="O221" s="9"/>
      <c r="P221" s="9"/>
      <c r="Q221" s="9"/>
      <c r="R221" s="9"/>
      <c r="S221" s="9"/>
      <c r="T221" s="9"/>
      <c r="U221" s="9"/>
      <c r="V221" s="9"/>
      <c r="W221" s="9"/>
      <c r="X221" s="9"/>
      <c r="Y221" s="9"/>
    </row>
    <row r="222" ht="15.75" customHeight="1" spans="1:8">
      <c r="A222" s="9"/>
      <c r="B222" s="9"/>
      <c r="C222" s="9"/>
      <c r="D222" s="10"/>
      <c r="E222" s="9"/>
      <c r="F222" s="9"/>
      <c r="G222" s="9"/>
      <c r="H222" s="9"/>
    </row>
    <row r="223" ht="15.75" customHeight="1" spans="4:4">
      <c r="D223" s="17"/>
    </row>
    <row r="224" ht="15.75" customHeight="1" spans="4:4">
      <c r="D224" s="17"/>
    </row>
    <row r="225" ht="15.75" customHeight="1" spans="4:4">
      <c r="D225" s="17"/>
    </row>
    <row r="226" ht="15.75" customHeight="1" spans="4:4">
      <c r="D226" s="17"/>
    </row>
    <row r="227" ht="15.75" customHeight="1" spans="4:4">
      <c r="D227" s="17"/>
    </row>
    <row r="228" ht="15.75" customHeight="1" spans="4:4">
      <c r="D228" s="17"/>
    </row>
    <row r="229" ht="15.75" customHeight="1" spans="4:4">
      <c r="D229" s="17"/>
    </row>
    <row r="230" ht="15.75" customHeight="1" spans="4:4">
      <c r="D230" s="17"/>
    </row>
    <row r="231" ht="15.75" customHeight="1" spans="4:4">
      <c r="D231" s="17"/>
    </row>
    <row r="232" ht="15.75" customHeight="1" spans="4:4">
      <c r="D232" s="17"/>
    </row>
    <row r="233" ht="15.75" customHeight="1" spans="4:4">
      <c r="D233" s="17"/>
    </row>
    <row r="234" ht="15.75" customHeight="1" spans="4:4">
      <c r="D234" s="17"/>
    </row>
    <row r="235" ht="15.75" customHeight="1" spans="4:4">
      <c r="D235" s="17"/>
    </row>
    <row r="236" ht="15.75" customHeight="1" spans="4:4">
      <c r="D236" s="17"/>
    </row>
    <row r="237" ht="15.75" customHeight="1" spans="4:4">
      <c r="D237" s="17"/>
    </row>
    <row r="238" ht="15.75" customHeight="1" spans="4:4">
      <c r="D238" s="17"/>
    </row>
    <row r="239" ht="15.75" customHeight="1" spans="4:4">
      <c r="D239" s="17"/>
    </row>
    <row r="240" ht="15.75" customHeight="1" spans="4:4">
      <c r="D240" s="17"/>
    </row>
    <row r="241" ht="15.75" customHeight="1" spans="4:4">
      <c r="D241" s="17"/>
    </row>
    <row r="242" ht="15.75" customHeight="1" spans="4:4">
      <c r="D242" s="17"/>
    </row>
    <row r="243" ht="15.75" customHeight="1" spans="4:4">
      <c r="D243" s="17"/>
    </row>
    <row r="244" ht="15.75" customHeight="1" spans="4:4">
      <c r="D244" s="17"/>
    </row>
    <row r="245" ht="15.75" customHeight="1" spans="4:4">
      <c r="D245" s="17"/>
    </row>
    <row r="246" ht="15.75" customHeight="1" spans="4:4">
      <c r="D246" s="17"/>
    </row>
    <row r="247" ht="15.75" customHeight="1" spans="4:4">
      <c r="D247" s="17"/>
    </row>
    <row r="248" ht="15.75" customHeight="1" spans="4:4">
      <c r="D248" s="17"/>
    </row>
    <row r="249" ht="15.75" customHeight="1" spans="4:4">
      <c r="D249" s="17"/>
    </row>
    <row r="250" ht="15.75" customHeight="1" spans="4:4">
      <c r="D250" s="17"/>
    </row>
    <row r="251" ht="15.75" customHeight="1" spans="4:4">
      <c r="D251" s="17"/>
    </row>
    <row r="252" ht="15.75" customHeight="1" spans="4:4">
      <c r="D252" s="17"/>
    </row>
    <row r="253" ht="15.75" customHeight="1" spans="4:4">
      <c r="D253" s="17"/>
    </row>
    <row r="254" ht="15.75" customHeight="1" spans="4:4">
      <c r="D254" s="17"/>
    </row>
    <row r="255" ht="15.75" customHeight="1" spans="4:4">
      <c r="D255" s="17"/>
    </row>
    <row r="256" ht="15.75" customHeight="1" spans="4:4">
      <c r="D256" s="17"/>
    </row>
    <row r="257" ht="15.75" customHeight="1" spans="4:4">
      <c r="D257" s="17"/>
    </row>
    <row r="258" ht="15.75" customHeight="1" spans="4:4">
      <c r="D258" s="17"/>
    </row>
    <row r="259" ht="15.75" customHeight="1" spans="4:4">
      <c r="D259" s="17"/>
    </row>
    <row r="260" ht="15.75" customHeight="1" spans="4:4">
      <c r="D260" s="17"/>
    </row>
    <row r="261" ht="15.75" customHeight="1" spans="4:4">
      <c r="D261" s="17"/>
    </row>
    <row r="262" ht="15.75" customHeight="1" spans="4:4">
      <c r="D262" s="17"/>
    </row>
    <row r="263" ht="15.75" customHeight="1" spans="4:4">
      <c r="D263" s="17"/>
    </row>
    <row r="264" ht="15.75" customHeight="1" spans="4:4">
      <c r="D264" s="17"/>
    </row>
    <row r="265" ht="15.75" customHeight="1" spans="4:4">
      <c r="D265" s="17"/>
    </row>
    <row r="266" ht="15.75" customHeight="1" spans="4:4">
      <c r="D266" s="17"/>
    </row>
    <row r="267" ht="15.75" customHeight="1" spans="4:4">
      <c r="D267" s="17"/>
    </row>
    <row r="268" ht="15.75" customHeight="1" spans="4:4">
      <c r="D268" s="17"/>
    </row>
    <row r="269" ht="15.75" customHeight="1" spans="4:4">
      <c r="D269" s="17"/>
    </row>
    <row r="270" ht="15.75" customHeight="1" spans="4:4">
      <c r="D270" s="17"/>
    </row>
    <row r="271" ht="15.75" customHeight="1" spans="4:4">
      <c r="D271" s="17"/>
    </row>
    <row r="272" ht="15.75" customHeight="1" spans="4:4">
      <c r="D272" s="17"/>
    </row>
    <row r="273" ht="15.75" customHeight="1" spans="4:4">
      <c r="D273" s="17"/>
    </row>
    <row r="274" ht="15.75" customHeight="1" spans="4:4">
      <c r="D274" s="17"/>
    </row>
    <row r="275" ht="15.75" customHeight="1" spans="4:4">
      <c r="D275" s="17"/>
    </row>
    <row r="276" ht="15.75" customHeight="1" spans="4:4">
      <c r="D276" s="17"/>
    </row>
    <row r="277" ht="15.75" customHeight="1" spans="4:4">
      <c r="D277" s="17"/>
    </row>
    <row r="278" ht="15.75" customHeight="1" spans="4:4">
      <c r="D278" s="17"/>
    </row>
    <row r="279" ht="15.75" customHeight="1" spans="4:4">
      <c r="D279" s="17"/>
    </row>
    <row r="280" ht="15.75" customHeight="1" spans="4:4">
      <c r="D280" s="17"/>
    </row>
    <row r="281" ht="15.75" customHeight="1" spans="4:4">
      <c r="D281" s="17"/>
    </row>
    <row r="282" ht="15.75" customHeight="1" spans="4:4">
      <c r="D282" s="17"/>
    </row>
    <row r="283" ht="15.75" customHeight="1" spans="4:4">
      <c r="D283" s="17"/>
    </row>
    <row r="284" ht="15.75" customHeight="1" spans="4:4">
      <c r="D284" s="17"/>
    </row>
    <row r="285" ht="15.75" customHeight="1" spans="4:4">
      <c r="D285" s="17"/>
    </row>
    <row r="286" ht="15.75" customHeight="1" spans="4:4">
      <c r="D286" s="17"/>
    </row>
    <row r="287" ht="15.75" customHeight="1" spans="4:4">
      <c r="D287" s="17"/>
    </row>
    <row r="288" ht="15.75" customHeight="1" spans="4:4">
      <c r="D288" s="17"/>
    </row>
    <row r="289" ht="15.75" customHeight="1" spans="4:4">
      <c r="D289" s="17"/>
    </row>
    <row r="290" ht="15.75" customHeight="1" spans="4:4">
      <c r="D290" s="17"/>
    </row>
    <row r="291" ht="15.75" customHeight="1" spans="4:4">
      <c r="D291" s="17"/>
    </row>
    <row r="292" ht="15.75" customHeight="1" spans="4:4">
      <c r="D292" s="17"/>
    </row>
    <row r="293" ht="15.75" customHeight="1" spans="4:4">
      <c r="D293" s="17"/>
    </row>
    <row r="294" ht="15.75" customHeight="1" spans="4:4">
      <c r="D294" s="17"/>
    </row>
    <row r="295" ht="15.75" customHeight="1" spans="4:4">
      <c r="D295" s="17"/>
    </row>
    <row r="296" ht="15.75" customHeight="1" spans="4:4">
      <c r="D296" s="17"/>
    </row>
    <row r="297" ht="15.75" customHeight="1" spans="4:4">
      <c r="D297" s="17"/>
    </row>
    <row r="298" ht="15.75" customHeight="1" spans="4:4">
      <c r="D298" s="17"/>
    </row>
    <row r="299" ht="15.75" customHeight="1" spans="4:4">
      <c r="D299" s="17"/>
    </row>
    <row r="300" ht="15.75" customHeight="1" spans="4:4">
      <c r="D300" s="17"/>
    </row>
    <row r="301" ht="15.75" customHeight="1" spans="4:4">
      <c r="D301" s="17"/>
    </row>
    <row r="302" ht="15.75" customHeight="1" spans="4:4">
      <c r="D302" s="17"/>
    </row>
    <row r="303" ht="15.75" customHeight="1" spans="4:4">
      <c r="D303" s="17"/>
    </row>
    <row r="304" ht="15.75" customHeight="1" spans="4:4">
      <c r="D304" s="17"/>
    </row>
    <row r="305" ht="15.75" customHeight="1" spans="4:4">
      <c r="D305" s="17"/>
    </row>
    <row r="306" ht="15.75" customHeight="1" spans="4:4">
      <c r="D306" s="17"/>
    </row>
    <row r="307" ht="15.75" customHeight="1" spans="4:4">
      <c r="D307" s="17"/>
    </row>
    <row r="308" ht="15.75" customHeight="1" spans="4:4">
      <c r="D308" s="17"/>
    </row>
    <row r="309" ht="15.75" customHeight="1" spans="4:4">
      <c r="D309" s="17"/>
    </row>
    <row r="310" ht="15.75" customHeight="1" spans="4:4">
      <c r="D310" s="17"/>
    </row>
    <row r="311" ht="15.75" customHeight="1" spans="4:4">
      <c r="D311" s="17"/>
    </row>
    <row r="312" ht="15.75" customHeight="1" spans="4:4">
      <c r="D312" s="17"/>
    </row>
    <row r="313" ht="15.75" customHeight="1" spans="4:4">
      <c r="D313" s="17"/>
    </row>
    <row r="314" ht="15.75" customHeight="1" spans="4:4">
      <c r="D314" s="17"/>
    </row>
    <row r="315" ht="15.75" customHeight="1" spans="4:4">
      <c r="D315" s="17"/>
    </row>
    <row r="316" ht="15.75" customHeight="1" spans="4:4">
      <c r="D316" s="17"/>
    </row>
    <row r="317" ht="15.75" customHeight="1" spans="4:4">
      <c r="D317" s="17"/>
    </row>
    <row r="318" ht="15.75" customHeight="1" spans="4:4">
      <c r="D318" s="17"/>
    </row>
    <row r="319" ht="15.75" customHeight="1" spans="4:4">
      <c r="D319" s="17"/>
    </row>
    <row r="320" ht="15.75" customHeight="1" spans="4:4">
      <c r="D320" s="17"/>
    </row>
    <row r="321" ht="15.75" customHeight="1" spans="4:4">
      <c r="D321" s="17"/>
    </row>
    <row r="322" ht="15.75" customHeight="1" spans="4:4">
      <c r="D322" s="17"/>
    </row>
    <row r="323" ht="15.75" customHeight="1" spans="4:4">
      <c r="D323" s="17"/>
    </row>
    <row r="324" ht="15.75" customHeight="1" spans="4:4">
      <c r="D324" s="17"/>
    </row>
    <row r="325" ht="15.75" customHeight="1" spans="4:4">
      <c r="D325" s="17"/>
    </row>
    <row r="326" ht="15.75" customHeight="1" spans="4:4">
      <c r="D326" s="17"/>
    </row>
    <row r="327" ht="15.75" customHeight="1" spans="4:4">
      <c r="D327" s="17"/>
    </row>
    <row r="328" ht="15.75" customHeight="1" spans="4:4">
      <c r="D328" s="17"/>
    </row>
    <row r="329" ht="15.75" customHeight="1" spans="4:4">
      <c r="D329" s="17"/>
    </row>
    <row r="330" ht="15.75" customHeight="1" spans="4:4">
      <c r="D330" s="17"/>
    </row>
    <row r="331" ht="15.75" customHeight="1" spans="4:4">
      <c r="D331" s="17"/>
    </row>
    <row r="332" ht="15.75" customHeight="1" spans="4:4">
      <c r="D332" s="17"/>
    </row>
    <row r="333" ht="15.75" customHeight="1" spans="4:4">
      <c r="D333" s="17"/>
    </row>
    <row r="334" ht="15.75" customHeight="1" spans="4:4">
      <c r="D334" s="17"/>
    </row>
    <row r="335" ht="15.75" customHeight="1" spans="4:4">
      <c r="D335" s="17"/>
    </row>
    <row r="336" ht="15.75" customHeight="1" spans="4:4">
      <c r="D336" s="17"/>
    </row>
    <row r="337" ht="15.75" customHeight="1" spans="4:4">
      <c r="D337" s="17"/>
    </row>
    <row r="338" ht="15.75" customHeight="1" spans="4:4">
      <c r="D338" s="17"/>
    </row>
    <row r="339" ht="15.75" customHeight="1" spans="4:4">
      <c r="D339" s="17"/>
    </row>
    <row r="340" ht="15.75" customHeight="1" spans="4:4">
      <c r="D340" s="17"/>
    </row>
    <row r="341" ht="15.75" customHeight="1" spans="4:4">
      <c r="D341" s="17"/>
    </row>
    <row r="342" ht="15.75" customHeight="1" spans="4:4">
      <c r="D342" s="17"/>
    </row>
    <row r="343" ht="15.75" customHeight="1" spans="4:4">
      <c r="D343" s="17"/>
    </row>
    <row r="344" ht="15.75" customHeight="1" spans="4:4">
      <c r="D344" s="17"/>
    </row>
    <row r="345" ht="15.75" customHeight="1" spans="4:4">
      <c r="D345" s="17"/>
    </row>
    <row r="346" ht="15.75" customHeight="1" spans="4:4">
      <c r="D346" s="17"/>
    </row>
    <row r="347" ht="15.75" customHeight="1" spans="4:4">
      <c r="D347" s="17"/>
    </row>
    <row r="348" ht="15.75" customHeight="1" spans="4:4">
      <c r="D348" s="17"/>
    </row>
    <row r="349" ht="15.75" customHeight="1" spans="4:4">
      <c r="D349" s="17"/>
    </row>
    <row r="350" ht="15.75" customHeight="1" spans="4:4">
      <c r="D350" s="17"/>
    </row>
    <row r="351" ht="15.75" customHeight="1" spans="4:4">
      <c r="D351" s="17"/>
    </row>
    <row r="352" ht="15.75" customHeight="1" spans="4:4">
      <c r="D352" s="17"/>
    </row>
    <row r="353" ht="15.75" customHeight="1" spans="4:4">
      <c r="D353" s="17"/>
    </row>
    <row r="354" ht="15.75" customHeight="1" spans="4:4">
      <c r="D354" s="17"/>
    </row>
    <row r="355" ht="15.75" customHeight="1" spans="4:4">
      <c r="D355" s="17"/>
    </row>
    <row r="356" ht="15.75" customHeight="1" spans="4:4">
      <c r="D356" s="17"/>
    </row>
    <row r="357" ht="15.75" customHeight="1" spans="4:4">
      <c r="D357" s="17"/>
    </row>
    <row r="358" ht="15.75" customHeight="1" spans="4:4">
      <c r="D358" s="17"/>
    </row>
    <row r="359" ht="15.75" customHeight="1" spans="4:4">
      <c r="D359" s="17"/>
    </row>
    <row r="360" ht="15.75" customHeight="1" spans="4:4">
      <c r="D360" s="17"/>
    </row>
    <row r="361" ht="15.75" customHeight="1" spans="4:4">
      <c r="D361" s="17"/>
    </row>
    <row r="362" ht="15.75" customHeight="1" spans="4:4">
      <c r="D362" s="17"/>
    </row>
    <row r="363" ht="15.75" customHeight="1" spans="4:4">
      <c r="D363" s="17"/>
    </row>
    <row r="364" ht="15.75" customHeight="1" spans="4:4">
      <c r="D364" s="17"/>
    </row>
    <row r="365" ht="15.75" customHeight="1" spans="4:4">
      <c r="D365" s="17"/>
    </row>
    <row r="366" ht="15.75" customHeight="1" spans="4:4">
      <c r="D366" s="17"/>
    </row>
    <row r="367" ht="15.75" customHeight="1" spans="4:4">
      <c r="D367" s="17"/>
    </row>
    <row r="368" ht="15.75" customHeight="1" spans="4:4">
      <c r="D368" s="17"/>
    </row>
    <row r="369" ht="15.75" customHeight="1" spans="4:4">
      <c r="D369" s="17"/>
    </row>
    <row r="370" ht="15.75" customHeight="1" spans="4:4">
      <c r="D370" s="17"/>
    </row>
    <row r="371" ht="15.75" customHeight="1" spans="4:4">
      <c r="D371" s="17"/>
    </row>
    <row r="372" ht="15.75" customHeight="1" spans="4:4">
      <c r="D372" s="17"/>
    </row>
    <row r="373" ht="15.75" customHeight="1" spans="4:4">
      <c r="D373" s="17"/>
    </row>
    <row r="374" ht="15.75" customHeight="1" spans="4:4">
      <c r="D374" s="17"/>
    </row>
    <row r="375" ht="15.75" customHeight="1" spans="4:4">
      <c r="D375" s="17"/>
    </row>
    <row r="376" ht="15.75" customHeight="1" spans="4:4">
      <c r="D376" s="17"/>
    </row>
    <row r="377" ht="15.75" customHeight="1" spans="4:4">
      <c r="D377" s="17"/>
    </row>
    <row r="378" ht="15.75" customHeight="1" spans="4:4">
      <c r="D378" s="17"/>
    </row>
    <row r="379" ht="15.75" customHeight="1" spans="4:4">
      <c r="D379" s="17"/>
    </row>
    <row r="380" ht="15.75" customHeight="1" spans="4:4">
      <c r="D380" s="17"/>
    </row>
    <row r="381" ht="15.75" customHeight="1" spans="4:4">
      <c r="D381" s="17"/>
    </row>
    <row r="382" ht="15.75" customHeight="1" spans="4:4">
      <c r="D382" s="17"/>
    </row>
    <row r="383" ht="15.75" customHeight="1" spans="4:4">
      <c r="D383" s="17"/>
    </row>
    <row r="384" ht="15.75" customHeight="1" spans="4:4">
      <c r="D384" s="17"/>
    </row>
    <row r="385" ht="15.75" customHeight="1" spans="4:4">
      <c r="D385" s="17"/>
    </row>
    <row r="386" ht="15.75" customHeight="1" spans="4:4">
      <c r="D386" s="17"/>
    </row>
    <row r="387" ht="15.75" customHeight="1" spans="4:4">
      <c r="D387" s="17"/>
    </row>
    <row r="388" ht="15.75" customHeight="1" spans="4:4">
      <c r="D388" s="17"/>
    </row>
    <row r="389" ht="15.75" customHeight="1" spans="4:4">
      <c r="D389" s="17"/>
    </row>
    <row r="390" ht="15.75" customHeight="1" spans="4:4">
      <c r="D390" s="17"/>
    </row>
    <row r="391" ht="15.75" customHeight="1" spans="4:4">
      <c r="D391" s="17"/>
    </row>
    <row r="392" ht="15.75" customHeight="1" spans="4:4">
      <c r="D392" s="17"/>
    </row>
    <row r="393" ht="15.75" customHeight="1" spans="4:4">
      <c r="D393" s="17"/>
    </row>
    <row r="394" ht="15.75" customHeight="1" spans="4:4">
      <c r="D394" s="17"/>
    </row>
    <row r="395" ht="15.75" customHeight="1" spans="4:4">
      <c r="D395" s="17"/>
    </row>
    <row r="396" ht="15.75" customHeight="1" spans="4:4">
      <c r="D396" s="17"/>
    </row>
    <row r="397" ht="15.75" customHeight="1" spans="4:4">
      <c r="D397" s="17"/>
    </row>
    <row r="398" ht="15.75" customHeight="1" spans="4:4">
      <c r="D398" s="17"/>
    </row>
    <row r="399" ht="15.75" customHeight="1" spans="4:4">
      <c r="D399" s="17"/>
    </row>
    <row r="400" ht="15.75" customHeight="1" spans="4:4">
      <c r="D400" s="17"/>
    </row>
    <row r="401" ht="15.75" customHeight="1" spans="4:4">
      <c r="D401" s="17"/>
    </row>
    <row r="402" ht="15.75" customHeight="1" spans="4:4">
      <c r="D402" s="17"/>
    </row>
    <row r="403" ht="15.75" customHeight="1" spans="4:4">
      <c r="D403" s="17"/>
    </row>
    <row r="404" ht="15.75" customHeight="1" spans="4:4">
      <c r="D404" s="17"/>
    </row>
    <row r="405" ht="15.75" customHeight="1" spans="4:4">
      <c r="D405" s="17"/>
    </row>
    <row r="406" ht="15.75" customHeight="1" spans="4:4">
      <c r="D406" s="17"/>
    </row>
    <row r="407" ht="15.75" customHeight="1" spans="4:4">
      <c r="D407" s="17"/>
    </row>
    <row r="408" ht="15.75" customHeight="1" spans="4:4">
      <c r="D408" s="17"/>
    </row>
    <row r="409" ht="15.75" customHeight="1" spans="4:4">
      <c r="D409" s="17"/>
    </row>
    <row r="410" ht="15.75" customHeight="1" spans="4:4">
      <c r="D410" s="17"/>
    </row>
    <row r="411" ht="15.75" customHeight="1" spans="4:4">
      <c r="D411" s="17"/>
    </row>
    <row r="412" ht="15.75" customHeight="1" spans="4:4">
      <c r="D412" s="17"/>
    </row>
    <row r="413" ht="15.75" customHeight="1" spans="4:4">
      <c r="D413" s="17"/>
    </row>
    <row r="414" ht="15.75" customHeight="1" spans="4:4">
      <c r="D414" s="17"/>
    </row>
    <row r="415" ht="15.75" customHeight="1" spans="4:4">
      <c r="D415" s="17"/>
    </row>
    <row r="416" ht="15.75" customHeight="1" spans="4:4">
      <c r="D416" s="17"/>
    </row>
    <row r="417" ht="15.75" customHeight="1" spans="4:4">
      <c r="D417" s="17"/>
    </row>
    <row r="418" ht="15.75" customHeight="1" spans="4:4">
      <c r="D418" s="17"/>
    </row>
    <row r="419" ht="15.75" customHeight="1" spans="4:4">
      <c r="D419" s="17"/>
    </row>
    <row r="420" ht="15.75" customHeight="1" spans="4:4">
      <c r="D420" s="17"/>
    </row>
    <row r="421" ht="15.75" customHeight="1" spans="4:4">
      <c r="D421" s="17"/>
    </row>
    <row r="422" ht="15.75" customHeight="1" spans="4:4">
      <c r="D422" s="17"/>
    </row>
    <row r="423" ht="15.75" customHeight="1" spans="4:4">
      <c r="D423" s="17"/>
    </row>
    <row r="424" ht="15.75" customHeight="1" spans="4:4">
      <c r="D424" s="17"/>
    </row>
    <row r="425" ht="15.75" customHeight="1" spans="4:4">
      <c r="D425" s="17"/>
    </row>
    <row r="426" ht="15.75" customHeight="1" spans="4:4">
      <c r="D426" s="17"/>
    </row>
    <row r="427" ht="15.75" customHeight="1" spans="4:4">
      <c r="D427" s="17"/>
    </row>
    <row r="428" ht="15.75" customHeight="1" spans="4:4">
      <c r="D428" s="17"/>
    </row>
    <row r="429" ht="15.75" customHeight="1" spans="4:4">
      <c r="D429" s="17"/>
    </row>
    <row r="430" ht="15.75" customHeight="1" spans="4:4">
      <c r="D430" s="17"/>
    </row>
    <row r="431" ht="15.75" customHeight="1" spans="4:4">
      <c r="D431" s="17"/>
    </row>
    <row r="432" ht="15.75" customHeight="1" spans="4:4">
      <c r="D432" s="17"/>
    </row>
    <row r="433" ht="15.75" customHeight="1" spans="4:4">
      <c r="D433" s="17"/>
    </row>
    <row r="434" ht="15.75" customHeight="1" spans="4:4">
      <c r="D434" s="17"/>
    </row>
    <row r="435" ht="15.75" customHeight="1" spans="4:4">
      <c r="D435" s="17"/>
    </row>
    <row r="436" ht="15.75" customHeight="1" spans="4:4">
      <c r="D436" s="17"/>
    </row>
    <row r="437" ht="15.75" customHeight="1" spans="4:4">
      <c r="D437" s="17"/>
    </row>
    <row r="438" ht="15.75" customHeight="1" spans="4:4">
      <c r="D438" s="17"/>
    </row>
    <row r="439" ht="15.75" customHeight="1" spans="4:4">
      <c r="D439" s="17"/>
    </row>
    <row r="440" ht="15.75" customHeight="1" spans="4:4">
      <c r="D440" s="17"/>
    </row>
    <row r="441" ht="15.75" customHeight="1" spans="4:4">
      <c r="D441" s="17"/>
    </row>
    <row r="442" ht="15.75" customHeight="1" spans="4:4">
      <c r="D442" s="17"/>
    </row>
    <row r="443" ht="15.75" customHeight="1" spans="4:4">
      <c r="D443" s="17"/>
    </row>
    <row r="444" ht="15.75" customHeight="1" spans="4:4">
      <c r="D444" s="17"/>
    </row>
    <row r="445" ht="15.75" customHeight="1" spans="4:4">
      <c r="D445" s="17"/>
    </row>
    <row r="446" ht="15.75" customHeight="1" spans="4:4">
      <c r="D446" s="17"/>
    </row>
    <row r="447" ht="15.75" customHeight="1" spans="4:4">
      <c r="D447" s="17"/>
    </row>
    <row r="448" ht="15.75" customHeight="1" spans="4:4">
      <c r="D448" s="17"/>
    </row>
    <row r="449" ht="15.75" customHeight="1" spans="4:4">
      <c r="D449" s="17"/>
    </row>
    <row r="450" ht="15.75" customHeight="1" spans="4:4">
      <c r="D450" s="17"/>
    </row>
    <row r="451" ht="15.75" customHeight="1" spans="4:4">
      <c r="D451" s="17"/>
    </row>
    <row r="452" ht="15.75" customHeight="1" spans="4:4">
      <c r="D452" s="17"/>
    </row>
    <row r="453" ht="15.75" customHeight="1" spans="4:4">
      <c r="D453" s="17"/>
    </row>
    <row r="454" ht="15.75" customHeight="1" spans="4:4">
      <c r="D454" s="17"/>
    </row>
    <row r="455" ht="15.75" customHeight="1" spans="4:4">
      <c r="D455" s="17"/>
    </row>
    <row r="456" ht="15.75" customHeight="1" spans="4:4">
      <c r="D456" s="17"/>
    </row>
    <row r="457" ht="15.75" customHeight="1" spans="4:4">
      <c r="D457" s="17"/>
    </row>
    <row r="458" ht="15.75" customHeight="1" spans="4:4">
      <c r="D458" s="17"/>
    </row>
    <row r="459" ht="15.75" customHeight="1" spans="4:4">
      <c r="D459" s="17"/>
    </row>
    <row r="460" ht="15.75" customHeight="1" spans="4:4">
      <c r="D460" s="17"/>
    </row>
    <row r="461" ht="15.75" customHeight="1" spans="4:4">
      <c r="D461" s="17"/>
    </row>
    <row r="462" ht="15.75" customHeight="1" spans="4:4">
      <c r="D462" s="17"/>
    </row>
    <row r="463" ht="15.75" customHeight="1" spans="4:4">
      <c r="D463" s="17"/>
    </row>
    <row r="464" ht="15.75" customHeight="1" spans="4:4">
      <c r="D464" s="17"/>
    </row>
    <row r="465" ht="15.75" customHeight="1" spans="4:4">
      <c r="D465" s="17"/>
    </row>
    <row r="466" ht="15.75" customHeight="1" spans="4:4">
      <c r="D466" s="17"/>
    </row>
    <row r="467" ht="15.75" customHeight="1" spans="4:4">
      <c r="D467" s="17"/>
    </row>
    <row r="468" ht="15.75" customHeight="1" spans="4:4">
      <c r="D468" s="17"/>
    </row>
    <row r="469" ht="15.75" customHeight="1" spans="4:4">
      <c r="D469" s="17"/>
    </row>
    <row r="470" ht="15.75" customHeight="1" spans="4:4">
      <c r="D470" s="17"/>
    </row>
    <row r="471" ht="15.75" customHeight="1" spans="4:4">
      <c r="D471" s="17"/>
    </row>
    <row r="472" ht="15.75" customHeight="1" spans="4:4">
      <c r="D472" s="17"/>
    </row>
    <row r="473" ht="15.75" customHeight="1" spans="4:4">
      <c r="D473" s="17"/>
    </row>
    <row r="474" ht="15.75" customHeight="1" spans="4:4">
      <c r="D474" s="17"/>
    </row>
    <row r="475" ht="15.75" customHeight="1" spans="4:4">
      <c r="D475" s="17"/>
    </row>
    <row r="476" ht="15.75" customHeight="1" spans="4:4">
      <c r="D476" s="17"/>
    </row>
    <row r="477" ht="15.75" customHeight="1" spans="4:4">
      <c r="D477" s="17"/>
    </row>
    <row r="478" ht="15.75" customHeight="1" spans="4:4">
      <c r="D478" s="17"/>
    </row>
    <row r="479" ht="15.75" customHeight="1" spans="4:4">
      <c r="D479" s="17"/>
    </row>
    <row r="480" ht="15.75" customHeight="1" spans="4:4">
      <c r="D480" s="17"/>
    </row>
    <row r="481" ht="15.75" customHeight="1" spans="4:4">
      <c r="D481" s="17"/>
    </row>
    <row r="482" ht="15.75" customHeight="1" spans="4:4">
      <c r="D482" s="17"/>
    </row>
    <row r="483" ht="15.75" customHeight="1" spans="4:4">
      <c r="D483" s="17"/>
    </row>
    <row r="484" ht="15.75" customHeight="1" spans="4:4">
      <c r="D484" s="17"/>
    </row>
    <row r="485" ht="15.75" customHeight="1" spans="4:4">
      <c r="D485" s="17"/>
    </row>
    <row r="486" ht="15.75" customHeight="1" spans="4:4">
      <c r="D486" s="17"/>
    </row>
    <row r="487" ht="15.75" customHeight="1" spans="4:4">
      <c r="D487" s="17"/>
    </row>
    <row r="488" ht="15.75" customHeight="1" spans="4:4">
      <c r="D488" s="17"/>
    </row>
    <row r="489" ht="15.75" customHeight="1" spans="4:4">
      <c r="D489" s="17"/>
    </row>
    <row r="490" ht="15.75" customHeight="1" spans="4:4">
      <c r="D490" s="17"/>
    </row>
    <row r="491" ht="15.75" customHeight="1" spans="4:4">
      <c r="D491" s="17"/>
    </row>
    <row r="492" ht="15.75" customHeight="1" spans="4:4">
      <c r="D492" s="17"/>
    </row>
    <row r="493" ht="15.75" customHeight="1" spans="4:4">
      <c r="D493" s="17"/>
    </row>
    <row r="494" ht="15.75" customHeight="1" spans="4:4">
      <c r="D494" s="17"/>
    </row>
    <row r="495" ht="15.75" customHeight="1" spans="4:4">
      <c r="D495" s="17"/>
    </row>
    <row r="496" ht="15.75" customHeight="1" spans="4:4">
      <c r="D496" s="17"/>
    </row>
    <row r="497" ht="15.75" customHeight="1" spans="4:4">
      <c r="D497" s="17"/>
    </row>
    <row r="498" ht="15.75" customHeight="1" spans="4:4">
      <c r="D498" s="17"/>
    </row>
    <row r="499" ht="15.75" customHeight="1" spans="4:4">
      <c r="D499" s="17"/>
    </row>
    <row r="500" ht="15.75" customHeight="1" spans="4:4">
      <c r="D500" s="17"/>
    </row>
    <row r="501" ht="15.75" customHeight="1" spans="4:4">
      <c r="D501" s="17"/>
    </row>
    <row r="502" ht="15.75" customHeight="1" spans="4:4">
      <c r="D502" s="17"/>
    </row>
    <row r="503" ht="15.75" customHeight="1" spans="4:4">
      <c r="D503" s="17"/>
    </row>
    <row r="504" ht="15.75" customHeight="1" spans="4:4">
      <c r="D504" s="17"/>
    </row>
    <row r="505" ht="15.75" customHeight="1" spans="4:4">
      <c r="D505" s="17"/>
    </row>
    <row r="506" ht="15.75" customHeight="1" spans="4:4">
      <c r="D506" s="17"/>
    </row>
    <row r="507" ht="15.75" customHeight="1" spans="4:4">
      <c r="D507" s="17"/>
    </row>
    <row r="508" ht="15.75" customHeight="1" spans="4:4">
      <c r="D508" s="17"/>
    </row>
    <row r="509" ht="15.75" customHeight="1" spans="4:4">
      <c r="D509" s="17"/>
    </row>
    <row r="510" ht="15.75" customHeight="1" spans="4:4">
      <c r="D510" s="17"/>
    </row>
    <row r="511" ht="15.75" customHeight="1" spans="4:4">
      <c r="D511" s="17"/>
    </row>
    <row r="512" ht="15.75" customHeight="1" spans="4:4">
      <c r="D512" s="17"/>
    </row>
    <row r="513" ht="15.75" customHeight="1" spans="4:4">
      <c r="D513" s="17"/>
    </row>
    <row r="514" ht="15.75" customHeight="1" spans="4:4">
      <c r="D514" s="17"/>
    </row>
    <row r="515" ht="15.75" customHeight="1" spans="4:4">
      <c r="D515" s="17"/>
    </row>
    <row r="516" ht="15.75" customHeight="1" spans="4:4">
      <c r="D516" s="17"/>
    </row>
    <row r="517" ht="15.75" customHeight="1" spans="4:4">
      <c r="D517" s="17"/>
    </row>
    <row r="518" ht="15.75" customHeight="1" spans="4:4">
      <c r="D518" s="17"/>
    </row>
    <row r="519" ht="15.75" customHeight="1" spans="4:4">
      <c r="D519" s="17"/>
    </row>
    <row r="520" ht="15.75" customHeight="1" spans="4:4">
      <c r="D520" s="17"/>
    </row>
    <row r="521" ht="15.75" customHeight="1" spans="4:4">
      <c r="D521" s="17"/>
    </row>
    <row r="522" ht="15.75" customHeight="1" spans="4:4">
      <c r="D522" s="17"/>
    </row>
    <row r="523" ht="15.75" customHeight="1" spans="4:4">
      <c r="D523" s="17"/>
    </row>
    <row r="524" ht="15.75" customHeight="1" spans="4:4">
      <c r="D524" s="17"/>
    </row>
    <row r="525" ht="15.75" customHeight="1" spans="4:4">
      <c r="D525" s="17"/>
    </row>
    <row r="526" ht="15.75" customHeight="1" spans="4:4">
      <c r="D526" s="17"/>
    </row>
    <row r="527" ht="15.75" customHeight="1" spans="4:4">
      <c r="D527" s="17"/>
    </row>
    <row r="528" ht="15.75" customHeight="1" spans="4:4">
      <c r="D528" s="17"/>
    </row>
    <row r="529" ht="15.75" customHeight="1" spans="4:4">
      <c r="D529" s="17"/>
    </row>
    <row r="530" ht="15.75" customHeight="1" spans="4:4">
      <c r="D530" s="17"/>
    </row>
    <row r="531" ht="15.75" customHeight="1" spans="4:4">
      <c r="D531" s="17"/>
    </row>
    <row r="532" ht="15.75" customHeight="1" spans="4:4">
      <c r="D532" s="17"/>
    </row>
    <row r="533" ht="15.75" customHeight="1" spans="4:4">
      <c r="D533" s="17"/>
    </row>
    <row r="534" ht="15.75" customHeight="1" spans="4:4">
      <c r="D534" s="17"/>
    </row>
    <row r="535" ht="15.75" customHeight="1" spans="4:4">
      <c r="D535" s="17"/>
    </row>
    <row r="536" ht="15.75" customHeight="1" spans="4:4">
      <c r="D536" s="17"/>
    </row>
    <row r="537" ht="15.75" customHeight="1" spans="4:4">
      <c r="D537" s="17"/>
    </row>
    <row r="538" ht="15.75" customHeight="1" spans="4:4">
      <c r="D538" s="17"/>
    </row>
    <row r="539" ht="15.75" customHeight="1" spans="4:4">
      <c r="D539" s="17"/>
    </row>
    <row r="540" ht="15.75" customHeight="1" spans="4:4">
      <c r="D540" s="17"/>
    </row>
    <row r="541" ht="15.75" customHeight="1" spans="4:4">
      <c r="D541" s="17"/>
    </row>
    <row r="542" ht="15.75" customHeight="1" spans="4:4">
      <c r="D542" s="17"/>
    </row>
    <row r="543" ht="15.75" customHeight="1" spans="4:4">
      <c r="D543" s="17"/>
    </row>
    <row r="544" ht="15.75" customHeight="1" spans="4:4">
      <c r="D544" s="17"/>
    </row>
    <row r="545" ht="15.75" customHeight="1" spans="4:4">
      <c r="D545" s="17"/>
    </row>
    <row r="546" ht="15.75" customHeight="1" spans="4:4">
      <c r="D546" s="17"/>
    </row>
    <row r="547" ht="15.75" customHeight="1" spans="4:4">
      <c r="D547" s="17"/>
    </row>
    <row r="548" ht="15.75" customHeight="1" spans="4:4">
      <c r="D548" s="17"/>
    </row>
    <row r="549" ht="15.75" customHeight="1" spans="4:4">
      <c r="D549" s="17"/>
    </row>
    <row r="550" ht="15.75" customHeight="1" spans="4:4">
      <c r="D550" s="17"/>
    </row>
    <row r="551" ht="15.75" customHeight="1" spans="4:4">
      <c r="D551" s="17"/>
    </row>
    <row r="552" ht="15.75" customHeight="1" spans="4:4">
      <c r="D552" s="17"/>
    </row>
    <row r="553" ht="15.75" customHeight="1" spans="4:4">
      <c r="D553" s="17"/>
    </row>
    <row r="554" ht="15.75" customHeight="1" spans="4:4">
      <c r="D554" s="17"/>
    </row>
    <row r="555" ht="15.75" customHeight="1" spans="4:4">
      <c r="D555" s="17"/>
    </row>
    <row r="556" ht="15.75" customHeight="1" spans="4:4">
      <c r="D556" s="17"/>
    </row>
    <row r="557" ht="15.75" customHeight="1" spans="4:4">
      <c r="D557" s="17"/>
    </row>
    <row r="558" ht="15.75" customHeight="1" spans="4:4">
      <c r="D558" s="17"/>
    </row>
    <row r="559" ht="15.75" customHeight="1" spans="4:4">
      <c r="D559" s="17"/>
    </row>
    <row r="560" ht="15.75" customHeight="1" spans="4:4">
      <c r="D560" s="17"/>
    </row>
    <row r="561" ht="15.75" customHeight="1" spans="4:4">
      <c r="D561" s="17"/>
    </row>
    <row r="562" ht="15.75" customHeight="1" spans="4:4">
      <c r="D562" s="17"/>
    </row>
    <row r="563" ht="15.75" customHeight="1" spans="4:4">
      <c r="D563" s="17"/>
    </row>
    <row r="564" ht="15.75" customHeight="1" spans="4:4">
      <c r="D564" s="17"/>
    </row>
    <row r="565" ht="15.75" customHeight="1" spans="4:4">
      <c r="D565" s="17"/>
    </row>
    <row r="566" ht="15.75" customHeight="1" spans="4:4">
      <c r="D566" s="17"/>
    </row>
    <row r="567" ht="15.75" customHeight="1" spans="4:4">
      <c r="D567" s="17"/>
    </row>
    <row r="568" ht="15.75" customHeight="1" spans="4:4">
      <c r="D568" s="17"/>
    </row>
    <row r="569" ht="15.75" customHeight="1" spans="4:4">
      <c r="D569" s="17"/>
    </row>
    <row r="570" ht="15.75" customHeight="1" spans="4:4">
      <c r="D570" s="17"/>
    </row>
    <row r="571" ht="15.75" customHeight="1" spans="4:4">
      <c r="D571" s="17"/>
    </row>
    <row r="572" ht="15.75" customHeight="1" spans="4:4">
      <c r="D572" s="17"/>
    </row>
    <row r="573" ht="15.75" customHeight="1" spans="4:4">
      <c r="D573" s="17"/>
    </row>
    <row r="574" ht="15.75" customHeight="1" spans="4:4">
      <c r="D574" s="17"/>
    </row>
    <row r="575" ht="15.75" customHeight="1" spans="4:4">
      <c r="D575" s="17"/>
    </row>
    <row r="576" ht="15.75" customHeight="1" spans="4:4">
      <c r="D576" s="17"/>
    </row>
    <row r="577" ht="15.75" customHeight="1" spans="4:4">
      <c r="D577" s="17"/>
    </row>
    <row r="578" ht="15.75" customHeight="1" spans="4:4">
      <c r="D578" s="17"/>
    </row>
    <row r="579" ht="15.75" customHeight="1" spans="4:4">
      <c r="D579" s="17"/>
    </row>
    <row r="580" ht="15.75" customHeight="1" spans="4:4">
      <c r="D580" s="17"/>
    </row>
    <row r="581" ht="15.75" customHeight="1" spans="4:4">
      <c r="D581" s="17"/>
    </row>
    <row r="582" ht="15.75" customHeight="1" spans="4:4">
      <c r="D582" s="17"/>
    </row>
    <row r="583" ht="15.75" customHeight="1" spans="4:4">
      <c r="D583" s="17"/>
    </row>
    <row r="584" ht="15.75" customHeight="1" spans="4:4">
      <c r="D584" s="17"/>
    </row>
    <row r="585" ht="15.75" customHeight="1" spans="4:4">
      <c r="D585" s="17"/>
    </row>
    <row r="586" ht="15.75" customHeight="1" spans="4:4">
      <c r="D586" s="17"/>
    </row>
    <row r="587" ht="15.75" customHeight="1" spans="4:4">
      <c r="D587" s="17"/>
    </row>
    <row r="588" ht="15.75" customHeight="1" spans="4:4">
      <c r="D588" s="17"/>
    </row>
    <row r="589" ht="15.75" customHeight="1" spans="4:4">
      <c r="D589" s="17"/>
    </row>
    <row r="590" ht="15.75" customHeight="1" spans="4:4">
      <c r="D590" s="17"/>
    </row>
    <row r="591" ht="15.75" customHeight="1" spans="4:4">
      <c r="D591" s="17"/>
    </row>
    <row r="592" ht="15.75" customHeight="1" spans="4:4">
      <c r="D592" s="17"/>
    </row>
    <row r="593" ht="15.75" customHeight="1" spans="4:4">
      <c r="D593" s="17"/>
    </row>
    <row r="594" ht="15.75" customHeight="1" spans="4:4">
      <c r="D594" s="17"/>
    </row>
    <row r="595" ht="15.75" customHeight="1" spans="4:4">
      <c r="D595" s="17"/>
    </row>
    <row r="596" ht="15.75" customHeight="1" spans="4:4">
      <c r="D596" s="17"/>
    </row>
    <row r="597" ht="15.75" customHeight="1" spans="4:4">
      <c r="D597" s="17"/>
    </row>
    <row r="598" ht="15.75" customHeight="1" spans="4:4">
      <c r="D598" s="17"/>
    </row>
    <row r="599" ht="15.75" customHeight="1" spans="4:4">
      <c r="D599" s="17"/>
    </row>
    <row r="600" ht="15.75" customHeight="1" spans="4:4">
      <c r="D600" s="17"/>
    </row>
    <row r="601" ht="15.75" customHeight="1" spans="4:4">
      <c r="D601" s="17"/>
    </row>
    <row r="602" ht="15.75" customHeight="1" spans="4:4">
      <c r="D602" s="17"/>
    </row>
    <row r="603" ht="15.75" customHeight="1" spans="4:4">
      <c r="D603" s="17"/>
    </row>
    <row r="604" ht="15.75" customHeight="1" spans="4:4">
      <c r="D604" s="17"/>
    </row>
    <row r="605" ht="15.75" customHeight="1" spans="4:4">
      <c r="D605" s="17"/>
    </row>
    <row r="606" ht="15.75" customHeight="1" spans="4:4">
      <c r="D606" s="17"/>
    </row>
    <row r="607" ht="15.75" customHeight="1" spans="4:4">
      <c r="D607" s="17"/>
    </row>
    <row r="608" ht="15.75" customHeight="1" spans="4:4">
      <c r="D608" s="17"/>
    </row>
    <row r="609" ht="15.75" customHeight="1" spans="4:4">
      <c r="D609" s="17"/>
    </row>
    <row r="610" ht="15.75" customHeight="1" spans="4:4">
      <c r="D610" s="17"/>
    </row>
    <row r="611" ht="15.75" customHeight="1" spans="4:4">
      <c r="D611" s="17"/>
    </row>
    <row r="612" ht="15.75" customHeight="1" spans="4:4">
      <c r="D612" s="17"/>
    </row>
    <row r="613" ht="15.75" customHeight="1" spans="4:4">
      <c r="D613" s="17"/>
    </row>
    <row r="614" ht="15.75" customHeight="1" spans="4:4">
      <c r="D614" s="17"/>
    </row>
    <row r="615" ht="15.75" customHeight="1" spans="4:4">
      <c r="D615" s="17"/>
    </row>
    <row r="616" ht="15.75" customHeight="1" spans="4:4">
      <c r="D616" s="17"/>
    </row>
    <row r="617" ht="15.75" customHeight="1" spans="4:4">
      <c r="D617" s="17"/>
    </row>
    <row r="618" ht="15.75" customHeight="1" spans="4:4">
      <c r="D618" s="17"/>
    </row>
    <row r="619" ht="15.75" customHeight="1" spans="4:4">
      <c r="D619" s="17"/>
    </row>
    <row r="620" ht="15.75" customHeight="1" spans="4:4">
      <c r="D620" s="17"/>
    </row>
    <row r="621" ht="15.75" customHeight="1" spans="4:4">
      <c r="D621" s="17"/>
    </row>
    <row r="622" ht="15.75" customHeight="1" spans="4:4">
      <c r="D622" s="17"/>
    </row>
    <row r="623" ht="15.75" customHeight="1" spans="4:4">
      <c r="D623" s="17"/>
    </row>
    <row r="624" ht="15.75" customHeight="1" spans="4:4">
      <c r="D624" s="17"/>
    </row>
    <row r="625" ht="15.75" customHeight="1" spans="4:4">
      <c r="D625" s="17"/>
    </row>
    <row r="626" ht="15.75" customHeight="1" spans="4:4">
      <c r="D626" s="17"/>
    </row>
    <row r="627" ht="15.75" customHeight="1" spans="4:4">
      <c r="D627" s="17"/>
    </row>
    <row r="628" ht="15.75" customHeight="1" spans="4:4">
      <c r="D628" s="17"/>
    </row>
    <row r="629" ht="15.75" customHeight="1" spans="4:4">
      <c r="D629" s="17"/>
    </row>
    <row r="630" ht="15.75" customHeight="1" spans="4:4">
      <c r="D630" s="17"/>
    </row>
    <row r="631" ht="15.75" customHeight="1" spans="4:4">
      <c r="D631" s="17"/>
    </row>
    <row r="632" ht="15.75" customHeight="1" spans="4:4">
      <c r="D632" s="17"/>
    </row>
    <row r="633" ht="15.75" customHeight="1" spans="4:4">
      <c r="D633" s="17"/>
    </row>
    <row r="634" ht="15.75" customHeight="1" spans="4:4">
      <c r="D634" s="17"/>
    </row>
    <row r="635" ht="15.75" customHeight="1" spans="4:4">
      <c r="D635" s="17"/>
    </row>
    <row r="636" ht="15.75" customHeight="1" spans="4:4">
      <c r="D636" s="17"/>
    </row>
    <row r="637" ht="15.75" customHeight="1" spans="4:4">
      <c r="D637" s="17"/>
    </row>
    <row r="638" ht="15.75" customHeight="1" spans="4:4">
      <c r="D638" s="17"/>
    </row>
    <row r="639" ht="15.75" customHeight="1" spans="4:4">
      <c r="D639" s="17"/>
    </row>
    <row r="640" ht="15.75" customHeight="1" spans="4:4">
      <c r="D640" s="17"/>
    </row>
    <row r="641" ht="15.75" customHeight="1" spans="4:4">
      <c r="D641" s="17"/>
    </row>
    <row r="642" ht="15.75" customHeight="1" spans="4:4">
      <c r="D642" s="17"/>
    </row>
    <row r="643" ht="15.75" customHeight="1" spans="4:4">
      <c r="D643" s="17"/>
    </row>
    <row r="644" ht="15.75" customHeight="1" spans="4:4">
      <c r="D644" s="17"/>
    </row>
    <row r="645" ht="15.75" customHeight="1" spans="4:4">
      <c r="D645" s="17"/>
    </row>
    <row r="646" ht="15.75" customHeight="1" spans="4:4">
      <c r="D646" s="17"/>
    </row>
    <row r="647" ht="15.75" customHeight="1" spans="4:4">
      <c r="D647" s="17"/>
    </row>
    <row r="648" ht="15.75" customHeight="1" spans="4:4">
      <c r="D648" s="17"/>
    </row>
    <row r="649" ht="15.75" customHeight="1" spans="4:4">
      <c r="D649" s="17"/>
    </row>
    <row r="650" ht="15.75" customHeight="1" spans="4:4">
      <c r="D650" s="17"/>
    </row>
    <row r="651" ht="15.75" customHeight="1" spans="4:4">
      <c r="D651" s="17"/>
    </row>
    <row r="652" ht="15.75" customHeight="1" spans="4:4">
      <c r="D652" s="17"/>
    </row>
    <row r="653" ht="15.75" customHeight="1" spans="4:4">
      <c r="D653" s="17"/>
    </row>
    <row r="654" ht="15.75" customHeight="1" spans="4:4">
      <c r="D654" s="17"/>
    </row>
    <row r="655" ht="15.75" customHeight="1" spans="4:4">
      <c r="D655" s="17"/>
    </row>
    <row r="656" ht="15.75" customHeight="1" spans="4:4">
      <c r="D656" s="17"/>
    </row>
    <row r="657" ht="15.75" customHeight="1" spans="4:4">
      <c r="D657" s="17"/>
    </row>
    <row r="658" ht="15.75" customHeight="1" spans="4:4">
      <c r="D658" s="17"/>
    </row>
    <row r="659" ht="15.75" customHeight="1" spans="4:4">
      <c r="D659" s="17"/>
    </row>
    <row r="660" ht="15.75" customHeight="1" spans="4:4">
      <c r="D660" s="17"/>
    </row>
    <row r="661" ht="15.75" customHeight="1" spans="4:4">
      <c r="D661" s="17"/>
    </row>
    <row r="662" ht="15.75" customHeight="1" spans="4:4">
      <c r="D662" s="17"/>
    </row>
    <row r="663" ht="15.75" customHeight="1" spans="4:4">
      <c r="D663" s="17"/>
    </row>
    <row r="664" ht="15.75" customHeight="1" spans="4:4">
      <c r="D664" s="17"/>
    </row>
    <row r="665" ht="15.75" customHeight="1" spans="4:4">
      <c r="D665" s="17"/>
    </row>
    <row r="666" ht="15.75" customHeight="1" spans="4:4">
      <c r="D666" s="17"/>
    </row>
    <row r="667" ht="15.75" customHeight="1" spans="4:4">
      <c r="D667" s="17"/>
    </row>
    <row r="668" ht="15.75" customHeight="1" spans="4:4">
      <c r="D668" s="17"/>
    </row>
    <row r="669" ht="15.75" customHeight="1" spans="4:4">
      <c r="D669" s="17"/>
    </row>
    <row r="670" ht="15.75" customHeight="1" spans="4:4">
      <c r="D670" s="17"/>
    </row>
    <row r="671" ht="15.75" customHeight="1" spans="4:4">
      <c r="D671" s="17"/>
    </row>
    <row r="672" ht="15.75" customHeight="1" spans="4:4">
      <c r="D672" s="17"/>
    </row>
    <row r="673" ht="15.75" customHeight="1" spans="4:4">
      <c r="D673" s="17"/>
    </row>
    <row r="674" ht="15.75" customHeight="1" spans="4:4">
      <c r="D674" s="17"/>
    </row>
    <row r="675" ht="15.75" customHeight="1" spans="4:4">
      <c r="D675" s="17"/>
    </row>
    <row r="676" ht="15.75" customHeight="1" spans="4:4">
      <c r="D676" s="17"/>
    </row>
    <row r="677" ht="15.75" customHeight="1" spans="4:4">
      <c r="D677" s="17"/>
    </row>
    <row r="678" ht="15.75" customHeight="1" spans="4:4">
      <c r="D678" s="17"/>
    </row>
    <row r="679" ht="15.75" customHeight="1" spans="4:4">
      <c r="D679" s="17"/>
    </row>
    <row r="680" ht="15.75" customHeight="1" spans="4:4">
      <c r="D680" s="17"/>
    </row>
    <row r="681" ht="15.75" customHeight="1" spans="4:4">
      <c r="D681" s="17"/>
    </row>
    <row r="682" ht="15.75" customHeight="1" spans="4:4">
      <c r="D682" s="17"/>
    </row>
    <row r="683" ht="15.75" customHeight="1" spans="4:4">
      <c r="D683" s="17"/>
    </row>
    <row r="684" ht="15.75" customHeight="1" spans="4:4">
      <c r="D684" s="17"/>
    </row>
    <row r="685" ht="15.75" customHeight="1" spans="4:4">
      <c r="D685" s="17"/>
    </row>
    <row r="686" ht="15.75" customHeight="1" spans="4:4">
      <c r="D686" s="17"/>
    </row>
    <row r="687" ht="15.75" customHeight="1" spans="4:4">
      <c r="D687" s="17"/>
    </row>
    <row r="688" ht="15.75" customHeight="1" spans="4:4">
      <c r="D688" s="17"/>
    </row>
    <row r="689" ht="15.75" customHeight="1" spans="4:4">
      <c r="D689" s="17"/>
    </row>
    <row r="690" ht="15.75" customHeight="1" spans="4:4">
      <c r="D690" s="17"/>
    </row>
    <row r="691" ht="15.75" customHeight="1" spans="4:4">
      <c r="D691" s="17"/>
    </row>
    <row r="692" ht="15.75" customHeight="1" spans="4:4">
      <c r="D692" s="17"/>
    </row>
    <row r="693" ht="15.75" customHeight="1" spans="4:4">
      <c r="D693" s="17"/>
    </row>
    <row r="694" ht="15.75" customHeight="1" spans="4:4">
      <c r="D694" s="17"/>
    </row>
    <row r="695" ht="15.75" customHeight="1" spans="4:4">
      <c r="D695" s="17"/>
    </row>
    <row r="696" ht="15.75" customHeight="1" spans="4:4">
      <c r="D696" s="17"/>
    </row>
    <row r="697" ht="15.75" customHeight="1" spans="4:4">
      <c r="D697" s="17"/>
    </row>
    <row r="698" ht="15.75" customHeight="1" spans="4:4">
      <c r="D698" s="17"/>
    </row>
    <row r="699" ht="15.75" customHeight="1" spans="4:4">
      <c r="D699" s="17"/>
    </row>
    <row r="700" ht="15.75" customHeight="1" spans="4:4">
      <c r="D700" s="17"/>
    </row>
    <row r="701" ht="15.75" customHeight="1" spans="4:4">
      <c r="D701" s="17"/>
    </row>
    <row r="702" ht="15.75" customHeight="1" spans="4:4">
      <c r="D702" s="17"/>
    </row>
    <row r="703" ht="15.75" customHeight="1" spans="4:4">
      <c r="D703" s="17"/>
    </row>
    <row r="704" ht="15.75" customHeight="1" spans="4:4">
      <c r="D704" s="17"/>
    </row>
    <row r="705" ht="15.75" customHeight="1" spans="4:4">
      <c r="D705" s="17"/>
    </row>
    <row r="706" ht="15.75" customHeight="1" spans="4:4">
      <c r="D706" s="17"/>
    </row>
    <row r="707" ht="15.75" customHeight="1" spans="4:4">
      <c r="D707" s="17"/>
    </row>
    <row r="708" ht="15.75" customHeight="1" spans="4:4">
      <c r="D708" s="17"/>
    </row>
    <row r="709" ht="15.75" customHeight="1" spans="4:4">
      <c r="D709" s="17"/>
    </row>
    <row r="710" ht="15.75" customHeight="1" spans="4:4">
      <c r="D710" s="17"/>
    </row>
    <row r="711" ht="15.75" customHeight="1" spans="4:4">
      <c r="D711" s="17"/>
    </row>
    <row r="712" ht="15.75" customHeight="1" spans="4:4">
      <c r="D712" s="17"/>
    </row>
    <row r="713" ht="15.75" customHeight="1" spans="4:4">
      <c r="D713" s="17"/>
    </row>
    <row r="714" ht="15.75" customHeight="1" spans="4:4">
      <c r="D714" s="17"/>
    </row>
    <row r="715" ht="15.75" customHeight="1" spans="4:4">
      <c r="D715" s="17"/>
    </row>
    <row r="716" ht="15.75" customHeight="1" spans="4:4">
      <c r="D716" s="17"/>
    </row>
    <row r="717" ht="15.75" customHeight="1" spans="4:4">
      <c r="D717" s="17"/>
    </row>
    <row r="718" ht="15.75" customHeight="1" spans="4:4">
      <c r="D718" s="17"/>
    </row>
    <row r="719" ht="15.75" customHeight="1" spans="4:4">
      <c r="D719" s="17"/>
    </row>
    <row r="720" ht="15.75" customHeight="1" spans="4:4">
      <c r="D720" s="17"/>
    </row>
    <row r="721" ht="15.75" customHeight="1" spans="4:4">
      <c r="D721" s="17"/>
    </row>
    <row r="722" ht="15.75" customHeight="1" spans="4:4">
      <c r="D722" s="17"/>
    </row>
    <row r="723" ht="15.75" customHeight="1" spans="4:4">
      <c r="D723" s="17"/>
    </row>
    <row r="724" ht="15.75" customHeight="1" spans="4:4">
      <c r="D724" s="17"/>
    </row>
    <row r="725" ht="15.75" customHeight="1" spans="4:4">
      <c r="D725" s="17"/>
    </row>
    <row r="726" ht="15.75" customHeight="1" spans="4:4">
      <c r="D726" s="17"/>
    </row>
    <row r="727" ht="15.75" customHeight="1" spans="4:4">
      <c r="D727" s="17"/>
    </row>
    <row r="728" ht="15.75" customHeight="1" spans="4:4">
      <c r="D728" s="17"/>
    </row>
    <row r="729" ht="15.75" customHeight="1" spans="4:4">
      <c r="D729" s="17"/>
    </row>
    <row r="730" ht="15.75" customHeight="1" spans="4:4">
      <c r="D730" s="17"/>
    </row>
    <row r="731" ht="15.75" customHeight="1" spans="4:4">
      <c r="D731" s="17"/>
    </row>
    <row r="732" ht="15.75" customHeight="1" spans="4:4">
      <c r="D732" s="17"/>
    </row>
    <row r="733" ht="15.75" customHeight="1" spans="4:4">
      <c r="D733" s="17"/>
    </row>
    <row r="734" ht="15.75" customHeight="1" spans="4:4">
      <c r="D734" s="17"/>
    </row>
    <row r="735" ht="15.75" customHeight="1" spans="4:4">
      <c r="D735" s="17"/>
    </row>
    <row r="736" ht="15.75" customHeight="1" spans="4:4">
      <c r="D736" s="17"/>
    </row>
    <row r="737" ht="15.75" customHeight="1" spans="4:4">
      <c r="D737" s="17"/>
    </row>
    <row r="738" ht="15.75" customHeight="1" spans="4:4">
      <c r="D738" s="17"/>
    </row>
    <row r="739" ht="15.75" customHeight="1" spans="4:4">
      <c r="D739" s="17"/>
    </row>
    <row r="740" ht="15.75" customHeight="1" spans="4:4">
      <c r="D740" s="17"/>
    </row>
    <row r="741" ht="15.75" customHeight="1" spans="4:4">
      <c r="D741" s="17"/>
    </row>
    <row r="742" ht="15.75" customHeight="1" spans="4:4">
      <c r="D742" s="17"/>
    </row>
    <row r="743" ht="15.75" customHeight="1" spans="4:4">
      <c r="D743" s="17"/>
    </row>
    <row r="744" ht="15.75" customHeight="1" spans="4:4">
      <c r="D744" s="17"/>
    </row>
    <row r="745" ht="15.75" customHeight="1" spans="4:4">
      <c r="D745" s="17"/>
    </row>
    <row r="746" ht="15.75" customHeight="1" spans="4:4">
      <c r="D746" s="17"/>
    </row>
    <row r="747" ht="15.75" customHeight="1" spans="4:4">
      <c r="D747" s="17"/>
    </row>
    <row r="748" ht="15.75" customHeight="1" spans="4:4">
      <c r="D748" s="17"/>
    </row>
    <row r="749" ht="15.75" customHeight="1" spans="4:4">
      <c r="D749" s="17"/>
    </row>
    <row r="750" ht="15.75" customHeight="1" spans="4:4">
      <c r="D750" s="17"/>
    </row>
    <row r="751" ht="15.75" customHeight="1" spans="4:4">
      <c r="D751" s="17"/>
    </row>
    <row r="752" ht="15.75" customHeight="1" spans="4:4">
      <c r="D752" s="17"/>
    </row>
    <row r="753" ht="15.75" customHeight="1" spans="4:4">
      <c r="D753" s="17"/>
    </row>
    <row r="754" ht="15.75" customHeight="1" spans="4:4">
      <c r="D754" s="17"/>
    </row>
    <row r="755" ht="15.75" customHeight="1" spans="4:4">
      <c r="D755" s="17"/>
    </row>
    <row r="756" ht="15.75" customHeight="1" spans="4:4">
      <c r="D756" s="17"/>
    </row>
    <row r="757" ht="15.75" customHeight="1" spans="4:4">
      <c r="D757" s="17"/>
    </row>
    <row r="758" ht="15.75" customHeight="1" spans="4:4">
      <c r="D758" s="17"/>
    </row>
    <row r="759" ht="15.75" customHeight="1" spans="4:4">
      <c r="D759" s="17"/>
    </row>
    <row r="760" ht="15.75" customHeight="1" spans="4:4">
      <c r="D760" s="17"/>
    </row>
    <row r="761" ht="15.75" customHeight="1" spans="4:4">
      <c r="D761" s="17"/>
    </row>
    <row r="762" ht="15.75" customHeight="1" spans="4:4">
      <c r="D762" s="17"/>
    </row>
    <row r="763" ht="15.75" customHeight="1" spans="4:4">
      <c r="D763" s="17"/>
    </row>
    <row r="764" ht="15.75" customHeight="1" spans="4:4">
      <c r="D764" s="17"/>
    </row>
    <row r="765" ht="15.75" customHeight="1" spans="4:4">
      <c r="D765" s="17"/>
    </row>
    <row r="766" ht="15.75" customHeight="1" spans="4:4">
      <c r="D766" s="17"/>
    </row>
    <row r="767" ht="15.75" customHeight="1" spans="4:4">
      <c r="D767" s="17"/>
    </row>
    <row r="768" ht="15.75" customHeight="1" spans="4:4">
      <c r="D768" s="17"/>
    </row>
    <row r="769" ht="15.75" customHeight="1" spans="4:4">
      <c r="D769" s="17"/>
    </row>
    <row r="770" ht="15.75" customHeight="1" spans="4:4">
      <c r="D770" s="17"/>
    </row>
    <row r="771" ht="15.75" customHeight="1" spans="4:4">
      <c r="D771" s="17"/>
    </row>
    <row r="772" ht="15.75" customHeight="1" spans="4:4">
      <c r="D772" s="17"/>
    </row>
    <row r="773" ht="15.75" customHeight="1" spans="4:4">
      <c r="D773" s="17"/>
    </row>
    <row r="774" ht="15.75" customHeight="1" spans="4:4">
      <c r="D774" s="17"/>
    </row>
    <row r="775" ht="15.75" customHeight="1" spans="4:4">
      <c r="D775" s="17"/>
    </row>
    <row r="776" ht="15.75" customHeight="1" spans="4:4">
      <c r="D776" s="17"/>
    </row>
    <row r="777" ht="15.75" customHeight="1" spans="4:4">
      <c r="D777" s="17"/>
    </row>
    <row r="778" ht="15.75" customHeight="1" spans="4:4">
      <c r="D778" s="17"/>
    </row>
    <row r="779" ht="15.75" customHeight="1" spans="4:4">
      <c r="D779" s="17"/>
    </row>
    <row r="780" ht="15.75" customHeight="1" spans="4:4">
      <c r="D780" s="17"/>
    </row>
    <row r="781" ht="15.75" customHeight="1" spans="4:4">
      <c r="D781" s="17"/>
    </row>
    <row r="782" ht="15.75" customHeight="1" spans="4:4">
      <c r="D782" s="17"/>
    </row>
    <row r="783" ht="15.75" customHeight="1" spans="4:4">
      <c r="D783" s="17"/>
    </row>
    <row r="784" ht="15.75" customHeight="1" spans="4:4">
      <c r="D784" s="17"/>
    </row>
    <row r="785" ht="15.75" customHeight="1" spans="4:4">
      <c r="D785" s="17"/>
    </row>
    <row r="786" ht="15.75" customHeight="1" spans="4:4">
      <c r="D786" s="17"/>
    </row>
    <row r="787" ht="15.75" customHeight="1" spans="4:4">
      <c r="D787" s="17"/>
    </row>
    <row r="788" ht="15.75" customHeight="1" spans="4:4">
      <c r="D788" s="17"/>
    </row>
    <row r="789" ht="15.75" customHeight="1" spans="4:4">
      <c r="D789" s="17"/>
    </row>
    <row r="790" ht="15.75" customHeight="1" spans="4:4">
      <c r="D790" s="17"/>
    </row>
    <row r="791" ht="15.75" customHeight="1" spans="4:4">
      <c r="D791" s="17"/>
    </row>
    <row r="792" ht="15.75" customHeight="1" spans="4:4">
      <c r="D792" s="17"/>
    </row>
    <row r="793" ht="15.75" customHeight="1" spans="4:4">
      <c r="D793" s="17"/>
    </row>
    <row r="794" ht="15.75" customHeight="1" spans="4:4">
      <c r="D794" s="17"/>
    </row>
    <row r="795" ht="15.75" customHeight="1" spans="4:4">
      <c r="D795" s="17"/>
    </row>
    <row r="796" ht="15.75" customHeight="1" spans="4:4">
      <c r="D796" s="17"/>
    </row>
    <row r="797" ht="15.75" customHeight="1" spans="4:4">
      <c r="D797" s="17"/>
    </row>
    <row r="798" ht="15.75" customHeight="1" spans="4:4">
      <c r="D798" s="17"/>
    </row>
    <row r="799" ht="15.75" customHeight="1" spans="4:4">
      <c r="D799" s="17"/>
    </row>
    <row r="800" ht="15.75" customHeight="1" spans="4:4">
      <c r="D800" s="17"/>
    </row>
    <row r="801" ht="15.75" customHeight="1" spans="4:4">
      <c r="D801" s="17"/>
    </row>
    <row r="802" ht="15.75" customHeight="1" spans="4:4">
      <c r="D802" s="17"/>
    </row>
    <row r="803" ht="15.75" customHeight="1" spans="4:4">
      <c r="D803" s="17"/>
    </row>
    <row r="804" ht="15.75" customHeight="1" spans="4:4">
      <c r="D804" s="17"/>
    </row>
    <row r="805" ht="15.75" customHeight="1" spans="4:4">
      <c r="D805" s="17"/>
    </row>
    <row r="806" ht="15.75" customHeight="1" spans="4:4">
      <c r="D806" s="17"/>
    </row>
    <row r="807" ht="15.75" customHeight="1" spans="4:4">
      <c r="D807" s="17"/>
    </row>
    <row r="808" ht="15.75" customHeight="1" spans="4:4">
      <c r="D808" s="17"/>
    </row>
    <row r="809" ht="15.75" customHeight="1" spans="4:4">
      <c r="D809" s="17"/>
    </row>
    <row r="810" ht="15.75" customHeight="1" spans="4:4">
      <c r="D810" s="17"/>
    </row>
    <row r="811" ht="15.75" customHeight="1" spans="4:4">
      <c r="D811" s="17"/>
    </row>
    <row r="812" ht="15.75" customHeight="1" spans="4:4">
      <c r="D812" s="17"/>
    </row>
    <row r="813" ht="15.75" customHeight="1" spans="4:4">
      <c r="D813" s="17"/>
    </row>
    <row r="814" ht="15.75" customHeight="1" spans="4:4">
      <c r="D814" s="17"/>
    </row>
    <row r="815" ht="15.75" customHeight="1" spans="4:4">
      <c r="D815" s="17"/>
    </row>
    <row r="816" ht="15.75" customHeight="1" spans="4:4">
      <c r="D816" s="17"/>
    </row>
    <row r="817" ht="15.75" customHeight="1" spans="4:4">
      <c r="D817" s="17"/>
    </row>
    <row r="818" ht="15.75" customHeight="1" spans="4:4">
      <c r="D818" s="17"/>
    </row>
    <row r="819" ht="15.75" customHeight="1" spans="4:4">
      <c r="D819" s="17"/>
    </row>
    <row r="820" ht="15.75" customHeight="1" spans="4:4">
      <c r="D820" s="17"/>
    </row>
    <row r="821" ht="15.75" customHeight="1" spans="4:4">
      <c r="D821" s="17"/>
    </row>
    <row r="822" ht="15.75" customHeight="1" spans="4:4">
      <c r="D822" s="17"/>
    </row>
    <row r="823" ht="15.75" customHeight="1" spans="4:4">
      <c r="D823" s="17"/>
    </row>
    <row r="824" ht="15.75" customHeight="1" spans="4:4">
      <c r="D824" s="17"/>
    </row>
    <row r="825" ht="15.75" customHeight="1" spans="4:4">
      <c r="D825" s="17"/>
    </row>
    <row r="826" ht="15.75" customHeight="1" spans="4:4">
      <c r="D826" s="17"/>
    </row>
    <row r="827" ht="15.75" customHeight="1" spans="4:4">
      <c r="D827" s="17"/>
    </row>
    <row r="828" ht="15.75" customHeight="1" spans="4:4">
      <c r="D828" s="17"/>
    </row>
    <row r="829" ht="15.75" customHeight="1" spans="4:4">
      <c r="D829" s="17"/>
    </row>
    <row r="830" ht="15.75" customHeight="1" spans="4:4">
      <c r="D830" s="17"/>
    </row>
    <row r="831" ht="15.75" customHeight="1" spans="4:4">
      <c r="D831" s="17"/>
    </row>
    <row r="832" ht="15.75" customHeight="1" spans="4:4">
      <c r="D832" s="17"/>
    </row>
    <row r="833" ht="15.75" customHeight="1" spans="4:4">
      <c r="D833" s="17"/>
    </row>
    <row r="834" ht="15.75" customHeight="1" spans="4:4">
      <c r="D834" s="17"/>
    </row>
    <row r="835" ht="15.75" customHeight="1" spans="4:4">
      <c r="D835" s="17"/>
    </row>
    <row r="836" ht="15.75" customHeight="1" spans="4:4">
      <c r="D836" s="17"/>
    </row>
    <row r="837" ht="15.75" customHeight="1" spans="4:4">
      <c r="D837" s="17"/>
    </row>
    <row r="838" ht="15.75" customHeight="1" spans="4:4">
      <c r="D838" s="17"/>
    </row>
    <row r="839" ht="15.75" customHeight="1" spans="4:4">
      <c r="D839" s="17"/>
    </row>
    <row r="840" ht="15.75" customHeight="1" spans="4:4">
      <c r="D840" s="17"/>
    </row>
    <row r="841" ht="15.75" customHeight="1" spans="4:4">
      <c r="D841" s="17"/>
    </row>
    <row r="842" ht="15.75" customHeight="1" spans="4:4">
      <c r="D842" s="17"/>
    </row>
    <row r="843" ht="15.75" customHeight="1" spans="4:4">
      <c r="D843" s="17"/>
    </row>
    <row r="844" ht="15.75" customHeight="1" spans="4:4">
      <c r="D844" s="17"/>
    </row>
    <row r="845" ht="15.75" customHeight="1" spans="4:4">
      <c r="D845" s="17"/>
    </row>
    <row r="846" ht="15.75" customHeight="1" spans="4:4">
      <c r="D846" s="17"/>
    </row>
    <row r="847" ht="15.75" customHeight="1" spans="4:4">
      <c r="D847" s="17"/>
    </row>
    <row r="848" ht="15.75" customHeight="1" spans="4:4">
      <c r="D848" s="17"/>
    </row>
    <row r="849" ht="15.75" customHeight="1" spans="4:4">
      <c r="D849" s="17"/>
    </row>
    <row r="850" ht="15.75" customHeight="1" spans="4:4">
      <c r="D850" s="17"/>
    </row>
    <row r="851" ht="15.75" customHeight="1" spans="4:4">
      <c r="D851" s="17"/>
    </row>
    <row r="852" ht="15.75" customHeight="1" spans="4:4">
      <c r="D852" s="17"/>
    </row>
    <row r="853" ht="15.75" customHeight="1" spans="4:4">
      <c r="D853" s="17"/>
    </row>
    <row r="854" ht="15.75" customHeight="1" spans="4:4">
      <c r="D854" s="17"/>
    </row>
    <row r="855" ht="15.75" customHeight="1" spans="4:4">
      <c r="D855" s="17"/>
    </row>
    <row r="856" ht="15.75" customHeight="1" spans="4:4">
      <c r="D856" s="17"/>
    </row>
    <row r="857" ht="15.75" customHeight="1" spans="4:4">
      <c r="D857" s="17"/>
    </row>
    <row r="858" ht="15.75" customHeight="1" spans="4:4">
      <c r="D858" s="17"/>
    </row>
    <row r="859" ht="15.75" customHeight="1" spans="4:4">
      <c r="D859" s="17"/>
    </row>
    <row r="860" ht="15.75" customHeight="1" spans="4:4">
      <c r="D860" s="17"/>
    </row>
    <row r="861" ht="15.75" customHeight="1" spans="4:4">
      <c r="D861" s="17"/>
    </row>
    <row r="862" ht="15.75" customHeight="1" spans="4:4">
      <c r="D862" s="17"/>
    </row>
    <row r="863" ht="15.75" customHeight="1" spans="4:4">
      <c r="D863" s="17"/>
    </row>
    <row r="864" ht="15.75" customHeight="1" spans="4:4">
      <c r="D864" s="17"/>
    </row>
    <row r="865" ht="15.75" customHeight="1" spans="4:4">
      <c r="D865" s="17"/>
    </row>
    <row r="866" ht="15.75" customHeight="1" spans="4:4">
      <c r="D866" s="17"/>
    </row>
    <row r="867" ht="15.75" customHeight="1" spans="4:4">
      <c r="D867" s="17"/>
    </row>
    <row r="868" ht="15.75" customHeight="1" spans="4:4">
      <c r="D868" s="17"/>
    </row>
    <row r="869" ht="15.75" customHeight="1" spans="4:4">
      <c r="D869" s="17"/>
    </row>
    <row r="870" ht="15.75" customHeight="1" spans="4:4">
      <c r="D870" s="17"/>
    </row>
    <row r="871" ht="15.75" customHeight="1" spans="4:4">
      <c r="D871" s="17"/>
    </row>
    <row r="872" ht="15.75" customHeight="1" spans="4:4">
      <c r="D872" s="17"/>
    </row>
    <row r="873" ht="15.75" customHeight="1" spans="4:4">
      <c r="D873" s="17"/>
    </row>
    <row r="874" ht="15.75" customHeight="1" spans="4:4">
      <c r="D874" s="17"/>
    </row>
    <row r="875" ht="15.75" customHeight="1" spans="4:4">
      <c r="D875" s="17"/>
    </row>
    <row r="876" ht="15.75" customHeight="1" spans="4:4">
      <c r="D876" s="17"/>
    </row>
    <row r="877" ht="15.75" customHeight="1" spans="4:4">
      <c r="D877" s="17"/>
    </row>
    <row r="878" ht="15.75" customHeight="1" spans="4:4">
      <c r="D878" s="17"/>
    </row>
    <row r="879" ht="15.75" customHeight="1" spans="4:4">
      <c r="D879" s="17"/>
    </row>
    <row r="880" ht="15.75" customHeight="1" spans="4:4">
      <c r="D880" s="17"/>
    </row>
    <row r="881" ht="15.75" customHeight="1" spans="4:4">
      <c r="D881" s="17"/>
    </row>
    <row r="882" ht="15.75" customHeight="1" spans="4:4">
      <c r="D882" s="17"/>
    </row>
    <row r="883" ht="15.75" customHeight="1" spans="4:4">
      <c r="D883" s="17"/>
    </row>
    <row r="884" ht="15.75" customHeight="1" spans="4:4">
      <c r="D884" s="17"/>
    </row>
    <row r="885" ht="15.75" customHeight="1" spans="4:4">
      <c r="D885" s="17"/>
    </row>
    <row r="886" ht="15.75" customHeight="1" spans="4:4">
      <c r="D886" s="17"/>
    </row>
    <row r="887" ht="15.75" customHeight="1" spans="4:4">
      <c r="D887" s="17"/>
    </row>
    <row r="888" ht="15.75" customHeight="1" spans="4:4">
      <c r="D888" s="17"/>
    </row>
    <row r="889" ht="15.75" customHeight="1" spans="4:4">
      <c r="D889" s="17"/>
    </row>
    <row r="890" ht="15.75" customHeight="1" spans="4:4">
      <c r="D890" s="17"/>
    </row>
    <row r="891" ht="15.75" customHeight="1" spans="4:4">
      <c r="D891" s="17"/>
    </row>
    <row r="892" ht="15.75" customHeight="1" spans="4:4">
      <c r="D892" s="17"/>
    </row>
    <row r="893" ht="15.75" customHeight="1" spans="4:4">
      <c r="D893" s="17"/>
    </row>
    <row r="894" ht="15.75" customHeight="1" spans="4:4">
      <c r="D894" s="17"/>
    </row>
    <row r="895" ht="15.75" customHeight="1" spans="4:4">
      <c r="D895" s="17"/>
    </row>
    <row r="896" ht="15.75" customHeight="1" spans="4:4">
      <c r="D896" s="17"/>
    </row>
    <row r="897" ht="15.75" customHeight="1" spans="4:4">
      <c r="D897" s="17"/>
    </row>
    <row r="898" ht="15.75" customHeight="1" spans="4:4">
      <c r="D898" s="17"/>
    </row>
    <row r="899" ht="15.75" customHeight="1" spans="4:4">
      <c r="D899" s="17"/>
    </row>
    <row r="900" ht="15.75" customHeight="1" spans="4:4">
      <c r="D900" s="17"/>
    </row>
    <row r="901" ht="15.75" customHeight="1" spans="4:4">
      <c r="D901" s="17"/>
    </row>
    <row r="902" ht="15.75" customHeight="1" spans="4:4">
      <c r="D902" s="17"/>
    </row>
    <row r="903" ht="15.75" customHeight="1" spans="4:4">
      <c r="D903" s="17"/>
    </row>
    <row r="904" ht="15.75" customHeight="1" spans="4:4">
      <c r="D904" s="17"/>
    </row>
    <row r="905" ht="15.75" customHeight="1" spans="4:4">
      <c r="D905" s="17"/>
    </row>
    <row r="906" ht="15.75" customHeight="1" spans="4:4">
      <c r="D906" s="17"/>
    </row>
    <row r="907" ht="15.75" customHeight="1" spans="4:4">
      <c r="D907" s="17"/>
    </row>
    <row r="908" ht="15.75" customHeight="1" spans="4:4">
      <c r="D908" s="17"/>
    </row>
    <row r="909" ht="15.75" customHeight="1" spans="4:4">
      <c r="D909" s="17"/>
    </row>
    <row r="910" ht="15.75" customHeight="1" spans="4:4">
      <c r="D910" s="17"/>
    </row>
    <row r="911" ht="15.75" customHeight="1" spans="4:4">
      <c r="D911" s="17"/>
    </row>
    <row r="912" ht="15.75" customHeight="1" spans="4:4">
      <c r="D912" s="17"/>
    </row>
    <row r="913" ht="15.75" customHeight="1" spans="4:4">
      <c r="D913" s="17"/>
    </row>
    <row r="914" ht="15.75" customHeight="1" spans="4:4">
      <c r="D914" s="17"/>
    </row>
    <row r="915" ht="15.75" customHeight="1" spans="4:4">
      <c r="D915" s="17"/>
    </row>
    <row r="916" ht="15.75" customHeight="1" spans="4:4">
      <c r="D916" s="17"/>
    </row>
    <row r="917" ht="15.75" customHeight="1" spans="4:4">
      <c r="D917" s="17"/>
    </row>
    <row r="918" ht="15.75" customHeight="1" spans="4:4">
      <c r="D918" s="17"/>
    </row>
    <row r="919" ht="15.75" customHeight="1" spans="4:4">
      <c r="D919" s="17"/>
    </row>
    <row r="920" ht="15.75" customHeight="1" spans="4:4">
      <c r="D920" s="17"/>
    </row>
    <row r="921" ht="15.75" customHeight="1" spans="4:4">
      <c r="D921" s="17"/>
    </row>
    <row r="922" ht="15.75" customHeight="1" spans="4:4">
      <c r="D922" s="17"/>
    </row>
    <row r="923" ht="15.75" customHeight="1" spans="4:4">
      <c r="D923" s="17"/>
    </row>
    <row r="924" ht="15.75" customHeight="1" spans="4:4">
      <c r="D924" s="17"/>
    </row>
    <row r="925" ht="15.75" customHeight="1" spans="4:4">
      <c r="D925" s="17"/>
    </row>
    <row r="926" ht="15.75" customHeight="1" spans="4:4">
      <c r="D926" s="17"/>
    </row>
    <row r="927" ht="15.75" customHeight="1" spans="4:4">
      <c r="D927" s="17"/>
    </row>
    <row r="928" ht="15.75" customHeight="1" spans="4:4">
      <c r="D928" s="17"/>
    </row>
    <row r="929" ht="15.75" customHeight="1" spans="4:4">
      <c r="D929" s="17"/>
    </row>
    <row r="930" ht="15.75" customHeight="1" spans="4:4">
      <c r="D930" s="17"/>
    </row>
    <row r="931" ht="15.75" customHeight="1" spans="4:4">
      <c r="D931" s="17"/>
    </row>
    <row r="932" ht="15.75" customHeight="1" spans="4:4">
      <c r="D932" s="17"/>
    </row>
    <row r="933" ht="15.75" customHeight="1" spans="4:4">
      <c r="D933" s="17"/>
    </row>
    <row r="934" ht="15.75" customHeight="1" spans="4:4">
      <c r="D934" s="17"/>
    </row>
    <row r="935" ht="15.75" customHeight="1" spans="4:4">
      <c r="D935" s="17"/>
    </row>
    <row r="936" ht="15.75" customHeight="1" spans="4:4">
      <c r="D936" s="17"/>
    </row>
    <row r="937" ht="15.75" customHeight="1" spans="4:4">
      <c r="D937" s="17"/>
    </row>
    <row r="938" ht="15.75" customHeight="1" spans="4:4">
      <c r="D938" s="17"/>
    </row>
    <row r="939" ht="15.75" customHeight="1" spans="4:4">
      <c r="D939" s="17"/>
    </row>
    <row r="940" ht="15.75" customHeight="1" spans="4:4">
      <c r="D940" s="17"/>
    </row>
    <row r="941" ht="15.75" customHeight="1" spans="4:4">
      <c r="D941" s="17"/>
    </row>
    <row r="942" ht="15.75" customHeight="1" spans="4:4">
      <c r="D942" s="17"/>
    </row>
    <row r="943" ht="15.75" customHeight="1" spans="4:4">
      <c r="D943" s="17"/>
    </row>
    <row r="944" ht="15.75" customHeight="1" spans="4:4">
      <c r="D944" s="17"/>
    </row>
    <row r="945" ht="15.75" customHeight="1" spans="4:4">
      <c r="D945" s="17"/>
    </row>
    <row r="946" ht="15.75" customHeight="1" spans="4:4">
      <c r="D946" s="17"/>
    </row>
    <row r="947" ht="15.75" customHeight="1" spans="4:4">
      <c r="D947" s="17"/>
    </row>
    <row r="948" ht="15.75" customHeight="1" spans="4:4">
      <c r="D948" s="17"/>
    </row>
    <row r="949" ht="15.75" customHeight="1" spans="4:4">
      <c r="D949" s="17"/>
    </row>
    <row r="950" ht="15.75" customHeight="1" spans="4:4">
      <c r="D950" s="17"/>
    </row>
    <row r="951" ht="15.75" customHeight="1" spans="4:4">
      <c r="D951" s="17"/>
    </row>
    <row r="952" ht="15.75" customHeight="1" spans="4:4">
      <c r="D952" s="17"/>
    </row>
    <row r="953" ht="15.75" customHeight="1" spans="4:4">
      <c r="D953" s="17"/>
    </row>
    <row r="954" ht="15.75" customHeight="1" spans="4:4">
      <c r="D954" s="17"/>
    </row>
    <row r="955" ht="15.75" customHeight="1" spans="4:4">
      <c r="D955" s="17"/>
    </row>
    <row r="956" ht="15.75" customHeight="1" spans="4:4">
      <c r="D956" s="17"/>
    </row>
    <row r="957" ht="15.75" customHeight="1" spans="4:4">
      <c r="D957" s="17"/>
    </row>
    <row r="958" ht="15.75" customHeight="1" spans="4:4">
      <c r="D958" s="17"/>
    </row>
    <row r="959" ht="15.75" customHeight="1" spans="4:4">
      <c r="D959" s="17"/>
    </row>
    <row r="960" ht="15.75" customHeight="1" spans="4:4">
      <c r="D960" s="17"/>
    </row>
    <row r="961" ht="15.75" customHeight="1" spans="4:4">
      <c r="D961" s="17"/>
    </row>
    <row r="962" ht="15.75" customHeight="1" spans="4:4">
      <c r="D962" s="17"/>
    </row>
    <row r="963" ht="15.75" customHeight="1" spans="4:4">
      <c r="D963" s="17"/>
    </row>
    <row r="964" ht="15.75" customHeight="1" spans="4:4">
      <c r="D964" s="17"/>
    </row>
    <row r="965" ht="15.75" customHeight="1" spans="4:4">
      <c r="D965" s="17"/>
    </row>
    <row r="966" ht="15.75" customHeight="1" spans="4:4">
      <c r="D966" s="17"/>
    </row>
    <row r="967" ht="15.75" customHeight="1" spans="4:4">
      <c r="D967" s="17"/>
    </row>
    <row r="968" ht="15.75" customHeight="1" spans="4:4">
      <c r="D968" s="17"/>
    </row>
    <row r="969" ht="15.75" customHeight="1" spans="4:4">
      <c r="D969" s="17"/>
    </row>
    <row r="970" ht="15.75" customHeight="1" spans="4:4">
      <c r="D970" s="17"/>
    </row>
    <row r="971" ht="15.75" customHeight="1" spans="4:4">
      <c r="D971" s="17"/>
    </row>
    <row r="972" ht="15.75" customHeight="1" spans="4:4">
      <c r="D972" s="17"/>
    </row>
    <row r="973" ht="15.75" customHeight="1" spans="4:4">
      <c r="D973" s="17"/>
    </row>
    <row r="974" ht="15.75" customHeight="1" spans="4:4">
      <c r="D974" s="17"/>
    </row>
    <row r="975" ht="15.75" customHeight="1" spans="4:4">
      <c r="D975" s="17"/>
    </row>
    <row r="976" ht="15.75" customHeight="1" spans="4:4">
      <c r="D976" s="17"/>
    </row>
    <row r="977" ht="15.75" customHeight="1" spans="4:4">
      <c r="D977" s="17"/>
    </row>
    <row r="978" ht="15.75" customHeight="1" spans="4:4">
      <c r="D978" s="17"/>
    </row>
    <row r="979" ht="15.75" customHeight="1" spans="4:4">
      <c r="D979" s="17"/>
    </row>
    <row r="980" ht="15.75" customHeight="1" spans="4:4">
      <c r="D980" s="17"/>
    </row>
    <row r="981" ht="15.75" customHeight="1" spans="4:4">
      <c r="D981" s="17"/>
    </row>
    <row r="982" ht="15.75" customHeight="1" spans="4:4">
      <c r="D982" s="17"/>
    </row>
    <row r="983" ht="15.75" customHeight="1" spans="4:4">
      <c r="D983" s="17"/>
    </row>
    <row r="984" ht="15.75" customHeight="1" spans="4:4">
      <c r="D984" s="17"/>
    </row>
    <row r="985" ht="15.75" customHeight="1" spans="4:4">
      <c r="D985" s="17"/>
    </row>
    <row r="986" ht="15.75" customHeight="1" spans="4:4">
      <c r="D986" s="17"/>
    </row>
    <row r="987" ht="15.75" customHeight="1" spans="4:4">
      <c r="D987" s="17"/>
    </row>
    <row r="988" ht="15.75" customHeight="1" spans="4:4">
      <c r="D988" s="17"/>
    </row>
    <row r="989" ht="15.75" customHeight="1" spans="4:4">
      <c r="D989" s="17"/>
    </row>
    <row r="990" ht="15.75" customHeight="1" spans="4:4">
      <c r="D990" s="17"/>
    </row>
    <row r="991" ht="15.75" customHeight="1" spans="4:4">
      <c r="D991" s="17"/>
    </row>
    <row r="992" ht="15.75" customHeight="1" spans="4:4">
      <c r="D992" s="17"/>
    </row>
    <row r="993" ht="15.75" customHeight="1" spans="4:4">
      <c r="D993" s="17"/>
    </row>
    <row r="994" ht="15.75" customHeight="1" spans="4:4">
      <c r="D994" s="17"/>
    </row>
    <row r="995" ht="15.75" customHeight="1" spans="4:4">
      <c r="D995" s="17"/>
    </row>
    <row r="996" ht="15.75" customHeight="1" spans="4:4">
      <c r="D996" s="17"/>
    </row>
    <row r="997" ht="15.75" customHeight="1" spans="4:4">
      <c r="D997" s="17"/>
    </row>
    <row r="998" ht="15.75" customHeight="1" spans="4:4">
      <c r="D998" s="17"/>
    </row>
    <row r="999" ht="15.75" customHeight="1" spans="4:4">
      <c r="D999" s="17"/>
    </row>
    <row r="1000" ht="15.75" customHeight="1" spans="4:4">
      <c r="D1000" s="17"/>
    </row>
    <row r="1001" customHeight="1" spans="4:4">
      <c r="D1001" s="17"/>
    </row>
  </sheetData>
  <pageMargins left="0.75" right="0.75" top="1" bottom="1" header="0" footer="0"/>
  <pageSetup paperSize="1" orientation="landscape"/>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Project Instructions</vt:lpstr>
      <vt:lpstr>Students Grade</vt:lpstr>
      <vt:lpstr>Sales Data</vt:lpstr>
      <vt:lpstr>Employee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Rwn</cp:lastModifiedBy>
  <dcterms:created xsi:type="dcterms:W3CDTF">2025-10-07T15:37:00Z</dcterms:created>
  <dcterms:modified xsi:type="dcterms:W3CDTF">2025-10-15T13:21:55Z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E8C3B1E5D3854280AAC67EBADA2627B8_12</vt:lpwstr>
  </property>
  <property fmtid="{D5CDD505-2E9C-101B-9397-08002B2CF9AE}" pid="3" name="KSOProductBuildVer">
    <vt:lpwstr>1033-12.2.0.22549</vt:lpwstr>
  </property>
</Properties>
</file>